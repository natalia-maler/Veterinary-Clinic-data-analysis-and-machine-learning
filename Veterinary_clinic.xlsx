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omments1.xml" ContentType="application/vnd.openxmlformats-officedocument.spreadsheetml.comments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 defaultThemeVersion="124226"/>
  <bookViews>
    <workbookView xWindow="0" yWindow="36" windowWidth="22980" windowHeight="9552" activeTab="7"/>
  </bookViews>
  <sheets>
    <sheet name="Owners" sheetId="1" r:id="rId1"/>
    <sheet name="Pets" sheetId="3" r:id="rId2"/>
    <sheet name="Vets" sheetId="4" r:id="rId3"/>
    <sheet name="Visits" sheetId="5" r:id="rId4"/>
    <sheet name="Treatments" sheetId="6" r:id="rId5"/>
    <sheet name="Prescriptions" sheetId="7" r:id="rId6"/>
    <sheet name="Statystyki" sheetId="8" r:id="rId7"/>
    <sheet name="Analiza" sheetId="14" r:id="rId8"/>
    <sheet name="tabele pomocnicze" sheetId="13" r:id="rId9"/>
  </sheets>
  <definedNames>
    <definedName name="LAPTOP_RGFJNK82_Klinika" localSheetId="1" hidden="1">Pets!$A$1:$H$79</definedName>
    <definedName name="LAPTOP_RGFJNK82_Klinika_Owners" localSheetId="0" hidden="1">Owners!$A$1:$H$31</definedName>
    <definedName name="LAPTOP_RGFJNK82_Klinika_Prescriptions" localSheetId="5" hidden="1">Prescriptions!$A$1:$F$61</definedName>
    <definedName name="LAPTOP_RGFJNK82_Klinika_Treatments" localSheetId="4" hidden="1">Treatments!$A$1:$G$148</definedName>
    <definedName name="LAPTOP_RGFJNK82_Klinika_Vets" localSheetId="2" hidden="1">Vets!$A$1:$F$7</definedName>
    <definedName name="LAPTOP_RGFJNK82_Klinika_Visits" localSheetId="3" hidden="1">Visits!$A$1:$G$187</definedName>
  </definedNames>
  <calcPr calcId="144525"/>
  <pivotCaches>
    <pivotCache cacheId="0" r:id="rId10"/>
    <pivotCache cacheId="1" r:id="rId11"/>
    <pivotCache cacheId="2" r:id="rId12"/>
    <pivotCache cacheId="3" r:id="rId13"/>
    <pivotCache cacheId="11" r:id="rId14"/>
  </pivotCaches>
  <fileRecoveryPr repairLoad="1"/>
</workbook>
</file>

<file path=xl/calcChain.xml><?xml version="1.0" encoding="utf-8"?>
<calcChain xmlns="http://schemas.openxmlformats.org/spreadsheetml/2006/main">
  <c r="P3" i="13" l="1"/>
  <c r="P4" i="13"/>
  <c r="P5" i="13"/>
  <c r="P6" i="13"/>
  <c r="P7" i="13"/>
  <c r="P8" i="13"/>
  <c r="P9" i="13"/>
  <c r="P10" i="13"/>
  <c r="P11" i="13"/>
  <c r="P12" i="13"/>
  <c r="P13" i="13"/>
  <c r="P14" i="13"/>
  <c r="P15" i="13"/>
  <c r="P16" i="13"/>
  <c r="P17" i="13"/>
  <c r="P18" i="13"/>
  <c r="P19" i="13"/>
  <c r="P20" i="13"/>
  <c r="P21" i="13"/>
  <c r="P22" i="13"/>
  <c r="P23" i="13"/>
  <c r="P24" i="13"/>
  <c r="P25" i="13"/>
  <c r="P26" i="13"/>
  <c r="P27" i="13"/>
  <c r="P28" i="13"/>
  <c r="P29" i="13"/>
  <c r="P30" i="13"/>
  <c r="P31" i="13"/>
  <c r="P32" i="13"/>
  <c r="P33" i="13"/>
  <c r="P34" i="13"/>
  <c r="P35" i="13"/>
  <c r="P36" i="13"/>
  <c r="P37" i="13"/>
  <c r="P38" i="13"/>
  <c r="P39" i="13"/>
  <c r="P40" i="13"/>
  <c r="P41" i="13"/>
  <c r="P42" i="13"/>
  <c r="P43" i="13"/>
  <c r="P44" i="13"/>
  <c r="P45" i="13"/>
  <c r="P46" i="13"/>
  <c r="P47" i="13"/>
  <c r="P48" i="13"/>
  <c r="P49" i="13"/>
  <c r="P50" i="13"/>
  <c r="P51" i="13"/>
  <c r="P52" i="13"/>
  <c r="P53" i="13"/>
  <c r="P54" i="13"/>
  <c r="P55" i="13"/>
  <c r="P56" i="13"/>
  <c r="P57" i="13"/>
  <c r="P58" i="13"/>
  <c r="P59" i="13"/>
  <c r="P60" i="13"/>
  <c r="P61" i="13"/>
  <c r="P62" i="13"/>
  <c r="P63" i="13"/>
  <c r="P64" i="13"/>
  <c r="P65" i="13"/>
  <c r="P66" i="13"/>
  <c r="P67" i="13"/>
  <c r="P68" i="13"/>
  <c r="P69" i="13"/>
  <c r="P70" i="13"/>
  <c r="P71" i="13"/>
  <c r="P72" i="13"/>
  <c r="P73" i="13"/>
  <c r="P74" i="13"/>
  <c r="P75" i="13"/>
  <c r="P76" i="13"/>
  <c r="P77" i="13"/>
  <c r="P78" i="13"/>
  <c r="P79" i="13"/>
  <c r="P80" i="13"/>
  <c r="P81" i="13"/>
  <c r="P82" i="13"/>
  <c r="P83" i="13"/>
  <c r="P84" i="13"/>
  <c r="P85" i="13"/>
  <c r="P86" i="13"/>
  <c r="P87" i="13"/>
  <c r="P88" i="13"/>
  <c r="P89" i="13"/>
  <c r="P90" i="13"/>
  <c r="P91" i="13"/>
  <c r="P92" i="13"/>
  <c r="P93" i="13"/>
  <c r="P94" i="13"/>
  <c r="P95" i="13"/>
  <c r="P96" i="13"/>
  <c r="P97" i="13"/>
  <c r="P98" i="13"/>
  <c r="P99" i="13"/>
  <c r="P100" i="13"/>
  <c r="P101" i="13"/>
  <c r="P102" i="13"/>
  <c r="P103" i="13"/>
  <c r="P104" i="13"/>
  <c r="P105" i="13"/>
  <c r="P106" i="13"/>
  <c r="P107" i="13"/>
  <c r="P108" i="13"/>
  <c r="P109" i="13"/>
  <c r="P110" i="13"/>
  <c r="P111" i="13"/>
  <c r="P112" i="13"/>
  <c r="P113" i="13"/>
  <c r="P114" i="13"/>
  <c r="P115" i="13"/>
  <c r="P116" i="13"/>
  <c r="P117" i="13"/>
  <c r="P118" i="13"/>
  <c r="P119" i="13"/>
  <c r="P120" i="13"/>
  <c r="P121" i="13"/>
  <c r="P122" i="13"/>
  <c r="P123" i="13"/>
  <c r="P124" i="13"/>
  <c r="P125" i="13"/>
  <c r="P126" i="13"/>
  <c r="P127" i="13"/>
  <c r="P128" i="13"/>
  <c r="P129" i="13"/>
  <c r="P130" i="13"/>
  <c r="P131" i="13"/>
  <c r="P132" i="13"/>
  <c r="P133" i="13"/>
  <c r="P134" i="13"/>
  <c r="P135" i="13"/>
  <c r="P136" i="13"/>
  <c r="P137" i="13"/>
  <c r="P138" i="13"/>
  <c r="P139" i="13"/>
  <c r="P140" i="13"/>
  <c r="P141" i="13"/>
  <c r="P142" i="13"/>
  <c r="P143" i="13"/>
  <c r="P144" i="13"/>
  <c r="P145" i="13"/>
  <c r="P146" i="13"/>
  <c r="P147" i="13"/>
  <c r="P148" i="13"/>
  <c r="P149" i="13"/>
  <c r="O149" i="13" l="1"/>
  <c r="N149" i="13"/>
  <c r="O148" i="13"/>
  <c r="N148" i="13"/>
  <c r="J148" i="13"/>
  <c r="I148" i="13"/>
  <c r="D148" i="13"/>
  <c r="C148" i="13"/>
  <c r="O147" i="13"/>
  <c r="N147" i="13"/>
  <c r="J147" i="13"/>
  <c r="I147" i="13"/>
  <c r="D147" i="13"/>
  <c r="C147" i="13"/>
  <c r="O146" i="13"/>
  <c r="N146" i="13"/>
  <c r="J146" i="13"/>
  <c r="I146" i="13"/>
  <c r="D146" i="13"/>
  <c r="C146" i="13"/>
  <c r="O145" i="13"/>
  <c r="N145" i="13"/>
  <c r="J145" i="13"/>
  <c r="I145" i="13"/>
  <c r="D145" i="13"/>
  <c r="C145" i="13"/>
  <c r="O144" i="13"/>
  <c r="N144" i="13"/>
  <c r="J144" i="13"/>
  <c r="I144" i="13"/>
  <c r="D144" i="13"/>
  <c r="C144" i="13"/>
  <c r="O143" i="13"/>
  <c r="N143" i="13"/>
  <c r="J143" i="13"/>
  <c r="I143" i="13"/>
  <c r="D143" i="13"/>
  <c r="C143" i="13"/>
  <c r="O142" i="13"/>
  <c r="N142" i="13"/>
  <c r="J142" i="13"/>
  <c r="I142" i="13"/>
  <c r="D142" i="13"/>
  <c r="C142" i="13"/>
  <c r="O141" i="13"/>
  <c r="N141" i="13"/>
  <c r="J141" i="13"/>
  <c r="I141" i="13"/>
  <c r="D141" i="13"/>
  <c r="C141" i="13"/>
  <c r="O140" i="13"/>
  <c r="N140" i="13"/>
  <c r="J140" i="13"/>
  <c r="I140" i="13"/>
  <c r="D140" i="13"/>
  <c r="C140" i="13"/>
  <c r="O139" i="13"/>
  <c r="N139" i="13"/>
  <c r="J139" i="13"/>
  <c r="I139" i="13"/>
  <c r="D139" i="13"/>
  <c r="C139" i="13"/>
  <c r="O138" i="13"/>
  <c r="N138" i="13"/>
  <c r="J138" i="13"/>
  <c r="I138" i="13"/>
  <c r="D138" i="13"/>
  <c r="C138" i="13"/>
  <c r="O137" i="13"/>
  <c r="N137" i="13"/>
  <c r="J137" i="13"/>
  <c r="I137" i="13"/>
  <c r="D137" i="13"/>
  <c r="C137" i="13"/>
  <c r="O136" i="13"/>
  <c r="N136" i="13"/>
  <c r="J136" i="13"/>
  <c r="I136" i="13"/>
  <c r="D136" i="13"/>
  <c r="C136" i="13"/>
  <c r="O135" i="13"/>
  <c r="N135" i="13"/>
  <c r="J135" i="13"/>
  <c r="I135" i="13"/>
  <c r="D135" i="13"/>
  <c r="C135" i="13"/>
  <c r="O134" i="13"/>
  <c r="N134" i="13"/>
  <c r="J134" i="13"/>
  <c r="I134" i="13"/>
  <c r="D134" i="13"/>
  <c r="C134" i="13"/>
  <c r="O133" i="13"/>
  <c r="N133" i="13"/>
  <c r="J133" i="13"/>
  <c r="I133" i="13"/>
  <c r="D133" i="13"/>
  <c r="C133" i="13"/>
  <c r="O132" i="13"/>
  <c r="N132" i="13"/>
  <c r="J132" i="13"/>
  <c r="I132" i="13"/>
  <c r="D132" i="13"/>
  <c r="C132" i="13"/>
  <c r="O131" i="13"/>
  <c r="N131" i="13"/>
  <c r="J131" i="13"/>
  <c r="I131" i="13"/>
  <c r="D131" i="13"/>
  <c r="C131" i="13"/>
  <c r="O130" i="13"/>
  <c r="N130" i="13"/>
  <c r="J130" i="13"/>
  <c r="I130" i="13"/>
  <c r="D130" i="13"/>
  <c r="C130" i="13"/>
  <c r="O129" i="13"/>
  <c r="N129" i="13"/>
  <c r="J129" i="13"/>
  <c r="I129" i="13"/>
  <c r="D129" i="13"/>
  <c r="C129" i="13"/>
  <c r="O128" i="13"/>
  <c r="N128" i="13"/>
  <c r="J128" i="13"/>
  <c r="I128" i="13"/>
  <c r="D128" i="13"/>
  <c r="C128" i="13"/>
  <c r="O127" i="13"/>
  <c r="N127" i="13"/>
  <c r="J127" i="13"/>
  <c r="I127" i="13"/>
  <c r="D127" i="13"/>
  <c r="C127" i="13"/>
  <c r="O126" i="13"/>
  <c r="N126" i="13"/>
  <c r="J126" i="13"/>
  <c r="I126" i="13"/>
  <c r="D126" i="13"/>
  <c r="C126" i="13"/>
  <c r="O125" i="13"/>
  <c r="N125" i="13"/>
  <c r="J125" i="13"/>
  <c r="I125" i="13"/>
  <c r="D125" i="13"/>
  <c r="C125" i="13"/>
  <c r="O124" i="13"/>
  <c r="N124" i="13"/>
  <c r="J124" i="13"/>
  <c r="I124" i="13"/>
  <c r="D124" i="13"/>
  <c r="C124" i="13"/>
  <c r="O123" i="13"/>
  <c r="N123" i="13"/>
  <c r="J123" i="13"/>
  <c r="I123" i="13"/>
  <c r="D123" i="13"/>
  <c r="C123" i="13"/>
  <c r="O122" i="13"/>
  <c r="N122" i="13"/>
  <c r="J122" i="13"/>
  <c r="I122" i="13"/>
  <c r="D122" i="13"/>
  <c r="C122" i="13"/>
  <c r="O121" i="13"/>
  <c r="N121" i="13"/>
  <c r="J121" i="13"/>
  <c r="I121" i="13"/>
  <c r="D121" i="13"/>
  <c r="C121" i="13"/>
  <c r="O120" i="13"/>
  <c r="N120" i="13"/>
  <c r="J120" i="13"/>
  <c r="I120" i="13"/>
  <c r="D120" i="13"/>
  <c r="C120" i="13"/>
  <c r="O119" i="13"/>
  <c r="N119" i="13"/>
  <c r="J119" i="13"/>
  <c r="I119" i="13"/>
  <c r="D119" i="13"/>
  <c r="C119" i="13"/>
  <c r="O118" i="13"/>
  <c r="N118" i="13"/>
  <c r="J118" i="13"/>
  <c r="I118" i="13"/>
  <c r="D118" i="13"/>
  <c r="C118" i="13"/>
  <c r="O117" i="13"/>
  <c r="N117" i="13"/>
  <c r="J117" i="13"/>
  <c r="I117" i="13"/>
  <c r="D117" i="13"/>
  <c r="C117" i="13"/>
  <c r="O116" i="13"/>
  <c r="N116" i="13"/>
  <c r="J116" i="13"/>
  <c r="I116" i="13"/>
  <c r="D116" i="13"/>
  <c r="C116" i="13"/>
  <c r="O115" i="13"/>
  <c r="N115" i="13"/>
  <c r="J115" i="13"/>
  <c r="I115" i="13"/>
  <c r="D115" i="13"/>
  <c r="C115" i="13"/>
  <c r="O114" i="13"/>
  <c r="N114" i="13"/>
  <c r="J114" i="13"/>
  <c r="I114" i="13"/>
  <c r="D114" i="13"/>
  <c r="C114" i="13"/>
  <c r="O113" i="13"/>
  <c r="N113" i="13"/>
  <c r="J113" i="13"/>
  <c r="I113" i="13"/>
  <c r="D113" i="13"/>
  <c r="C113" i="13"/>
  <c r="O112" i="13"/>
  <c r="N112" i="13"/>
  <c r="J112" i="13"/>
  <c r="I112" i="13"/>
  <c r="D112" i="13"/>
  <c r="C112" i="13"/>
  <c r="O111" i="13"/>
  <c r="N111" i="13"/>
  <c r="J111" i="13"/>
  <c r="I111" i="13"/>
  <c r="D111" i="13"/>
  <c r="C111" i="13"/>
  <c r="O110" i="13"/>
  <c r="N110" i="13"/>
  <c r="J110" i="13"/>
  <c r="I110" i="13"/>
  <c r="D110" i="13"/>
  <c r="C110" i="13"/>
  <c r="O109" i="13"/>
  <c r="N109" i="13"/>
  <c r="J109" i="13"/>
  <c r="I109" i="13"/>
  <c r="D109" i="13"/>
  <c r="C109" i="13"/>
  <c r="O108" i="13"/>
  <c r="N108" i="13"/>
  <c r="J108" i="13"/>
  <c r="I108" i="13"/>
  <c r="D108" i="13"/>
  <c r="C108" i="13"/>
  <c r="O107" i="13"/>
  <c r="N107" i="13"/>
  <c r="J107" i="13"/>
  <c r="I107" i="13"/>
  <c r="D107" i="13"/>
  <c r="C107" i="13"/>
  <c r="O106" i="13"/>
  <c r="N106" i="13"/>
  <c r="J106" i="13"/>
  <c r="I106" i="13"/>
  <c r="D106" i="13"/>
  <c r="C106" i="13"/>
  <c r="O105" i="13"/>
  <c r="N105" i="13"/>
  <c r="J105" i="13"/>
  <c r="I105" i="13"/>
  <c r="D105" i="13"/>
  <c r="C105" i="13"/>
  <c r="O104" i="13"/>
  <c r="N104" i="13"/>
  <c r="J104" i="13"/>
  <c r="I104" i="13"/>
  <c r="D104" i="13"/>
  <c r="C104" i="13"/>
  <c r="O103" i="13"/>
  <c r="N103" i="13"/>
  <c r="J103" i="13"/>
  <c r="I103" i="13"/>
  <c r="D103" i="13"/>
  <c r="C103" i="13"/>
  <c r="O102" i="13"/>
  <c r="N102" i="13"/>
  <c r="J102" i="13"/>
  <c r="I102" i="13"/>
  <c r="D102" i="13"/>
  <c r="C102" i="13"/>
  <c r="O101" i="13"/>
  <c r="N101" i="13"/>
  <c r="J101" i="13"/>
  <c r="I101" i="13"/>
  <c r="D101" i="13"/>
  <c r="C101" i="13"/>
  <c r="O100" i="13"/>
  <c r="N100" i="13"/>
  <c r="J100" i="13"/>
  <c r="I100" i="13"/>
  <c r="D100" i="13"/>
  <c r="C100" i="13"/>
  <c r="O99" i="13"/>
  <c r="N99" i="13"/>
  <c r="J99" i="13"/>
  <c r="I99" i="13"/>
  <c r="D99" i="13"/>
  <c r="C99" i="13"/>
  <c r="O98" i="13"/>
  <c r="N98" i="13"/>
  <c r="J98" i="13"/>
  <c r="I98" i="13"/>
  <c r="D98" i="13"/>
  <c r="C98" i="13"/>
  <c r="O97" i="13"/>
  <c r="N97" i="13"/>
  <c r="J97" i="13"/>
  <c r="I97" i="13"/>
  <c r="D97" i="13"/>
  <c r="C97" i="13"/>
  <c r="O96" i="13"/>
  <c r="N96" i="13"/>
  <c r="J96" i="13"/>
  <c r="I96" i="13"/>
  <c r="D96" i="13"/>
  <c r="C96" i="13"/>
  <c r="O95" i="13"/>
  <c r="N95" i="13"/>
  <c r="J95" i="13"/>
  <c r="I95" i="13"/>
  <c r="D95" i="13"/>
  <c r="C95" i="13"/>
  <c r="O94" i="13"/>
  <c r="N94" i="13"/>
  <c r="J94" i="13"/>
  <c r="I94" i="13"/>
  <c r="D94" i="13"/>
  <c r="C94" i="13"/>
  <c r="O93" i="13"/>
  <c r="N93" i="13"/>
  <c r="J93" i="13"/>
  <c r="I93" i="13"/>
  <c r="D93" i="13"/>
  <c r="C93" i="13"/>
  <c r="O92" i="13"/>
  <c r="N92" i="13"/>
  <c r="J92" i="13"/>
  <c r="I92" i="13"/>
  <c r="D92" i="13"/>
  <c r="C92" i="13"/>
  <c r="O91" i="13"/>
  <c r="N91" i="13"/>
  <c r="J91" i="13"/>
  <c r="I91" i="13"/>
  <c r="D91" i="13"/>
  <c r="C91" i="13"/>
  <c r="O90" i="13"/>
  <c r="N90" i="13"/>
  <c r="J90" i="13"/>
  <c r="I90" i="13"/>
  <c r="D90" i="13"/>
  <c r="C90" i="13"/>
  <c r="O89" i="13"/>
  <c r="N89" i="13"/>
  <c r="J89" i="13"/>
  <c r="I89" i="13"/>
  <c r="D89" i="13"/>
  <c r="C89" i="13"/>
  <c r="O88" i="13"/>
  <c r="N88" i="13"/>
  <c r="J88" i="13"/>
  <c r="I88" i="13"/>
  <c r="D88" i="13"/>
  <c r="C88" i="13"/>
  <c r="O87" i="13"/>
  <c r="N87" i="13"/>
  <c r="J87" i="13"/>
  <c r="I87" i="13"/>
  <c r="D87" i="13"/>
  <c r="C87" i="13"/>
  <c r="O86" i="13"/>
  <c r="N86" i="13"/>
  <c r="J86" i="13"/>
  <c r="I86" i="13"/>
  <c r="D86" i="13"/>
  <c r="C86" i="13"/>
  <c r="O85" i="13"/>
  <c r="N85" i="13"/>
  <c r="J85" i="13"/>
  <c r="I85" i="13"/>
  <c r="D85" i="13"/>
  <c r="C85" i="13"/>
  <c r="O84" i="13"/>
  <c r="N84" i="13"/>
  <c r="J84" i="13"/>
  <c r="I84" i="13"/>
  <c r="D84" i="13"/>
  <c r="C84" i="13"/>
  <c r="O83" i="13"/>
  <c r="N83" i="13"/>
  <c r="J83" i="13"/>
  <c r="I83" i="13"/>
  <c r="D83" i="13"/>
  <c r="C83" i="13"/>
  <c r="O82" i="13"/>
  <c r="N82" i="13"/>
  <c r="J82" i="13"/>
  <c r="I82" i="13"/>
  <c r="D82" i="13"/>
  <c r="C82" i="13"/>
  <c r="O81" i="13"/>
  <c r="N81" i="13"/>
  <c r="J81" i="13"/>
  <c r="I81" i="13"/>
  <c r="D81" i="13"/>
  <c r="C81" i="13"/>
  <c r="O80" i="13"/>
  <c r="N80" i="13"/>
  <c r="J80" i="13"/>
  <c r="I80" i="13"/>
  <c r="D80" i="13"/>
  <c r="C80" i="13"/>
  <c r="O79" i="13"/>
  <c r="N79" i="13"/>
  <c r="J79" i="13"/>
  <c r="I79" i="13"/>
  <c r="D79" i="13"/>
  <c r="C79" i="13"/>
  <c r="O78" i="13"/>
  <c r="N78" i="13"/>
  <c r="J78" i="13"/>
  <c r="I78" i="13"/>
  <c r="D78" i="13"/>
  <c r="C78" i="13"/>
  <c r="O77" i="13"/>
  <c r="N77" i="13"/>
  <c r="J77" i="13"/>
  <c r="I77" i="13"/>
  <c r="D77" i="13"/>
  <c r="C77" i="13"/>
  <c r="O76" i="13"/>
  <c r="N76" i="13"/>
  <c r="J76" i="13"/>
  <c r="I76" i="13"/>
  <c r="D76" i="13"/>
  <c r="C76" i="13"/>
  <c r="O75" i="13"/>
  <c r="N75" i="13"/>
  <c r="J75" i="13"/>
  <c r="I75" i="13"/>
  <c r="D75" i="13"/>
  <c r="C75" i="13"/>
  <c r="O74" i="13"/>
  <c r="N74" i="13"/>
  <c r="J74" i="13"/>
  <c r="I74" i="13"/>
  <c r="D74" i="13"/>
  <c r="C74" i="13"/>
  <c r="O73" i="13"/>
  <c r="N73" i="13"/>
  <c r="J73" i="13"/>
  <c r="I73" i="13"/>
  <c r="D73" i="13"/>
  <c r="C73" i="13"/>
  <c r="O72" i="13"/>
  <c r="N72" i="13"/>
  <c r="J72" i="13"/>
  <c r="I72" i="13"/>
  <c r="D72" i="13"/>
  <c r="C72" i="13"/>
  <c r="O71" i="13"/>
  <c r="N71" i="13"/>
  <c r="J71" i="13"/>
  <c r="I71" i="13"/>
  <c r="D71" i="13"/>
  <c r="C71" i="13"/>
  <c r="O70" i="13"/>
  <c r="N70" i="13"/>
  <c r="J70" i="13"/>
  <c r="I70" i="13"/>
  <c r="D70" i="13"/>
  <c r="C70" i="13"/>
  <c r="O69" i="13"/>
  <c r="N69" i="13"/>
  <c r="J69" i="13"/>
  <c r="I69" i="13"/>
  <c r="D69" i="13"/>
  <c r="C69" i="13"/>
  <c r="O68" i="13"/>
  <c r="N68" i="13"/>
  <c r="J68" i="13"/>
  <c r="I68" i="13"/>
  <c r="D68" i="13"/>
  <c r="C68" i="13"/>
  <c r="O67" i="13"/>
  <c r="N67" i="13"/>
  <c r="J67" i="13"/>
  <c r="I67" i="13"/>
  <c r="D67" i="13"/>
  <c r="C67" i="13"/>
  <c r="O66" i="13"/>
  <c r="N66" i="13"/>
  <c r="J66" i="13"/>
  <c r="I66" i="13"/>
  <c r="D66" i="13"/>
  <c r="C66" i="13"/>
  <c r="O65" i="13"/>
  <c r="N65" i="13"/>
  <c r="J65" i="13"/>
  <c r="I65" i="13"/>
  <c r="D65" i="13"/>
  <c r="C65" i="13"/>
  <c r="O64" i="13"/>
  <c r="N64" i="13"/>
  <c r="J64" i="13"/>
  <c r="I64" i="13"/>
  <c r="D64" i="13"/>
  <c r="C64" i="13"/>
  <c r="O63" i="13"/>
  <c r="N63" i="13"/>
  <c r="J63" i="13"/>
  <c r="I63" i="13"/>
  <c r="D63" i="13"/>
  <c r="C63" i="13"/>
  <c r="O62" i="13"/>
  <c r="N62" i="13"/>
  <c r="J62" i="13"/>
  <c r="I62" i="13"/>
  <c r="D62" i="13"/>
  <c r="C62" i="13"/>
  <c r="O61" i="13"/>
  <c r="N61" i="13"/>
  <c r="J61" i="13"/>
  <c r="I61" i="13"/>
  <c r="D61" i="13"/>
  <c r="C61" i="13"/>
  <c r="O60" i="13"/>
  <c r="N60" i="13"/>
  <c r="J60" i="13"/>
  <c r="I60" i="13"/>
  <c r="D60" i="13"/>
  <c r="C60" i="13"/>
  <c r="O59" i="13"/>
  <c r="N59" i="13"/>
  <c r="J59" i="13"/>
  <c r="I59" i="13"/>
  <c r="D59" i="13"/>
  <c r="C59" i="13"/>
  <c r="O58" i="13"/>
  <c r="N58" i="13"/>
  <c r="J58" i="13"/>
  <c r="I58" i="13"/>
  <c r="D58" i="13"/>
  <c r="C58" i="13"/>
  <c r="O57" i="13"/>
  <c r="N57" i="13"/>
  <c r="J57" i="13"/>
  <c r="I57" i="13"/>
  <c r="D57" i="13"/>
  <c r="C57" i="13"/>
  <c r="O56" i="13"/>
  <c r="N56" i="13"/>
  <c r="J56" i="13"/>
  <c r="I56" i="13"/>
  <c r="D56" i="13"/>
  <c r="C56" i="13"/>
  <c r="O55" i="13"/>
  <c r="N55" i="13"/>
  <c r="J55" i="13"/>
  <c r="I55" i="13"/>
  <c r="D55" i="13"/>
  <c r="C55" i="13"/>
  <c r="O54" i="13"/>
  <c r="N54" i="13"/>
  <c r="J54" i="13"/>
  <c r="I54" i="13"/>
  <c r="D54" i="13"/>
  <c r="C54" i="13"/>
  <c r="O53" i="13"/>
  <c r="N53" i="13"/>
  <c r="J53" i="13"/>
  <c r="I53" i="13"/>
  <c r="D53" i="13"/>
  <c r="C53" i="13"/>
  <c r="O52" i="13"/>
  <c r="N52" i="13"/>
  <c r="J52" i="13"/>
  <c r="I52" i="13"/>
  <c r="D52" i="13"/>
  <c r="C52" i="13"/>
  <c r="O51" i="13"/>
  <c r="N51" i="13"/>
  <c r="J51" i="13"/>
  <c r="I51" i="13"/>
  <c r="D51" i="13"/>
  <c r="C51" i="13"/>
  <c r="O50" i="13"/>
  <c r="N50" i="13"/>
  <c r="J50" i="13"/>
  <c r="I50" i="13"/>
  <c r="D50" i="13"/>
  <c r="C50" i="13"/>
  <c r="O49" i="13"/>
  <c r="N49" i="13"/>
  <c r="J49" i="13"/>
  <c r="I49" i="13"/>
  <c r="D49" i="13"/>
  <c r="C49" i="13"/>
  <c r="O48" i="13"/>
  <c r="N48" i="13"/>
  <c r="J48" i="13"/>
  <c r="I48" i="13"/>
  <c r="D48" i="13"/>
  <c r="C48" i="13"/>
  <c r="O47" i="13"/>
  <c r="N47" i="13"/>
  <c r="J47" i="13"/>
  <c r="I47" i="13"/>
  <c r="D47" i="13"/>
  <c r="C47" i="13"/>
  <c r="O46" i="13"/>
  <c r="N46" i="13"/>
  <c r="J46" i="13"/>
  <c r="I46" i="13"/>
  <c r="D46" i="13"/>
  <c r="C46" i="13"/>
  <c r="O45" i="13"/>
  <c r="N45" i="13"/>
  <c r="J45" i="13"/>
  <c r="I45" i="13"/>
  <c r="D45" i="13"/>
  <c r="C45" i="13"/>
  <c r="O44" i="13"/>
  <c r="N44" i="13"/>
  <c r="J44" i="13"/>
  <c r="I44" i="13"/>
  <c r="D44" i="13"/>
  <c r="C44" i="13"/>
  <c r="O43" i="13"/>
  <c r="N43" i="13"/>
  <c r="J43" i="13"/>
  <c r="I43" i="13"/>
  <c r="D43" i="13"/>
  <c r="C43" i="13"/>
  <c r="O42" i="13"/>
  <c r="N42" i="13"/>
  <c r="J42" i="13"/>
  <c r="I42" i="13"/>
  <c r="D42" i="13"/>
  <c r="C42" i="13"/>
  <c r="O41" i="13"/>
  <c r="N41" i="13"/>
  <c r="J41" i="13"/>
  <c r="I41" i="13"/>
  <c r="D41" i="13"/>
  <c r="C41" i="13"/>
  <c r="O40" i="13"/>
  <c r="N40" i="13"/>
  <c r="J40" i="13"/>
  <c r="I40" i="13"/>
  <c r="D40" i="13"/>
  <c r="C40" i="13"/>
  <c r="O39" i="13"/>
  <c r="N39" i="13"/>
  <c r="J39" i="13"/>
  <c r="I39" i="13"/>
  <c r="D39" i="13"/>
  <c r="C39" i="13"/>
  <c r="O38" i="13"/>
  <c r="N38" i="13"/>
  <c r="J38" i="13"/>
  <c r="I38" i="13"/>
  <c r="D38" i="13"/>
  <c r="C38" i="13"/>
  <c r="O37" i="13"/>
  <c r="N37" i="13"/>
  <c r="J37" i="13"/>
  <c r="I37" i="13"/>
  <c r="D37" i="13"/>
  <c r="C37" i="13"/>
  <c r="O36" i="13"/>
  <c r="N36" i="13"/>
  <c r="J36" i="13"/>
  <c r="I36" i="13"/>
  <c r="D36" i="13"/>
  <c r="C36" i="13"/>
  <c r="O35" i="13"/>
  <c r="N35" i="13"/>
  <c r="J35" i="13"/>
  <c r="I35" i="13"/>
  <c r="D35" i="13"/>
  <c r="C35" i="13"/>
  <c r="O34" i="13"/>
  <c r="N34" i="13"/>
  <c r="J34" i="13"/>
  <c r="I34" i="13"/>
  <c r="D34" i="13"/>
  <c r="C34" i="13"/>
  <c r="O33" i="13"/>
  <c r="N33" i="13"/>
  <c r="J33" i="13"/>
  <c r="I33" i="13"/>
  <c r="D33" i="13"/>
  <c r="C33" i="13"/>
  <c r="O32" i="13"/>
  <c r="N32" i="13"/>
  <c r="J32" i="13"/>
  <c r="I32" i="13"/>
  <c r="D32" i="13"/>
  <c r="C32" i="13"/>
  <c r="O31" i="13"/>
  <c r="N31" i="13"/>
  <c r="J31" i="13"/>
  <c r="I31" i="13"/>
  <c r="D31" i="13"/>
  <c r="C31" i="13"/>
  <c r="O30" i="13"/>
  <c r="N30" i="13"/>
  <c r="J30" i="13"/>
  <c r="I30" i="13"/>
  <c r="D30" i="13"/>
  <c r="C30" i="13"/>
  <c r="O29" i="13"/>
  <c r="N29" i="13"/>
  <c r="J29" i="13"/>
  <c r="I29" i="13"/>
  <c r="D29" i="13"/>
  <c r="C29" i="13"/>
  <c r="O28" i="13"/>
  <c r="N28" i="13"/>
  <c r="J28" i="13"/>
  <c r="I28" i="13"/>
  <c r="D28" i="13"/>
  <c r="C28" i="13"/>
  <c r="O27" i="13"/>
  <c r="N27" i="13"/>
  <c r="J27" i="13"/>
  <c r="I27" i="13"/>
  <c r="D27" i="13"/>
  <c r="C27" i="13"/>
  <c r="O26" i="13"/>
  <c r="N26" i="13"/>
  <c r="J26" i="13"/>
  <c r="I26" i="13"/>
  <c r="D26" i="13"/>
  <c r="C26" i="13"/>
  <c r="O25" i="13"/>
  <c r="N25" i="13"/>
  <c r="J25" i="13"/>
  <c r="I25" i="13"/>
  <c r="D25" i="13"/>
  <c r="C25" i="13"/>
  <c r="O24" i="13"/>
  <c r="N24" i="13"/>
  <c r="J24" i="13"/>
  <c r="I24" i="13"/>
  <c r="D24" i="13"/>
  <c r="C24" i="13"/>
  <c r="O23" i="13"/>
  <c r="N23" i="13"/>
  <c r="J23" i="13"/>
  <c r="I23" i="13"/>
  <c r="D23" i="13"/>
  <c r="C23" i="13"/>
  <c r="O22" i="13"/>
  <c r="N22" i="13"/>
  <c r="J22" i="13"/>
  <c r="I22" i="13"/>
  <c r="D22" i="13"/>
  <c r="C22" i="13"/>
  <c r="O21" i="13"/>
  <c r="N21" i="13"/>
  <c r="J21" i="13"/>
  <c r="I21" i="13"/>
  <c r="D21" i="13"/>
  <c r="C21" i="13"/>
  <c r="O20" i="13"/>
  <c r="N20" i="13"/>
  <c r="J20" i="13"/>
  <c r="I20" i="13"/>
  <c r="D20" i="13"/>
  <c r="C20" i="13"/>
  <c r="O19" i="13"/>
  <c r="N19" i="13"/>
  <c r="J19" i="13"/>
  <c r="I19" i="13"/>
  <c r="D19" i="13"/>
  <c r="C19" i="13"/>
  <c r="O18" i="13"/>
  <c r="N18" i="13"/>
  <c r="J18" i="13"/>
  <c r="I18" i="13"/>
  <c r="D18" i="13"/>
  <c r="C18" i="13"/>
  <c r="O17" i="13"/>
  <c r="N17" i="13"/>
  <c r="J17" i="13"/>
  <c r="I17" i="13"/>
  <c r="D17" i="13"/>
  <c r="C17" i="13"/>
  <c r="O16" i="13"/>
  <c r="N16" i="13"/>
  <c r="J16" i="13"/>
  <c r="I16" i="13"/>
  <c r="D16" i="13"/>
  <c r="C16" i="13"/>
  <c r="O15" i="13"/>
  <c r="N15" i="13"/>
  <c r="J15" i="13"/>
  <c r="I15" i="13"/>
  <c r="D15" i="13"/>
  <c r="C15" i="13"/>
  <c r="O14" i="13"/>
  <c r="N14" i="13"/>
  <c r="J14" i="13"/>
  <c r="I14" i="13"/>
  <c r="D14" i="13"/>
  <c r="C14" i="13"/>
  <c r="O13" i="13"/>
  <c r="N13" i="13"/>
  <c r="J13" i="13"/>
  <c r="I13" i="13"/>
  <c r="D13" i="13"/>
  <c r="C13" i="13"/>
  <c r="O12" i="13"/>
  <c r="N12" i="13"/>
  <c r="J12" i="13"/>
  <c r="I12" i="13"/>
  <c r="D12" i="13"/>
  <c r="C12" i="13"/>
  <c r="O11" i="13"/>
  <c r="N11" i="13"/>
  <c r="J11" i="13"/>
  <c r="I11" i="13"/>
  <c r="D11" i="13"/>
  <c r="C11" i="13"/>
  <c r="O10" i="13"/>
  <c r="N10" i="13"/>
  <c r="J10" i="13"/>
  <c r="I10" i="13"/>
  <c r="D10" i="13"/>
  <c r="C10" i="13"/>
  <c r="O9" i="13"/>
  <c r="N9" i="13"/>
  <c r="J9" i="13"/>
  <c r="I9" i="13"/>
  <c r="D9" i="13"/>
  <c r="C9" i="13"/>
  <c r="O8" i="13"/>
  <c r="N8" i="13"/>
  <c r="J8" i="13"/>
  <c r="I8" i="13"/>
  <c r="D8" i="13"/>
  <c r="C8" i="13"/>
  <c r="O7" i="13"/>
  <c r="N7" i="13"/>
  <c r="J7" i="13"/>
  <c r="I7" i="13"/>
  <c r="D7" i="13"/>
  <c r="C7" i="13"/>
  <c r="O6" i="13"/>
  <c r="N6" i="13"/>
  <c r="J6" i="13"/>
  <c r="I6" i="13"/>
  <c r="D6" i="13"/>
  <c r="C6" i="13"/>
  <c r="O5" i="13"/>
  <c r="N5" i="13"/>
  <c r="J5" i="13"/>
  <c r="I5" i="13"/>
  <c r="D5" i="13"/>
  <c r="C5" i="13"/>
  <c r="O4" i="13"/>
  <c r="N4" i="13"/>
  <c r="J4" i="13"/>
  <c r="I4" i="13"/>
  <c r="D4" i="13"/>
  <c r="C4" i="13"/>
  <c r="O3" i="13"/>
  <c r="N3" i="13"/>
  <c r="J3" i="13"/>
  <c r="I3" i="13"/>
  <c r="D3" i="13"/>
  <c r="C3" i="13"/>
  <c r="J2" i="13"/>
  <c r="I2" i="13"/>
  <c r="D2" i="13"/>
  <c r="C2" i="13"/>
  <c r="H148" i="6"/>
  <c r="H147" i="6"/>
  <c r="H146" i="6"/>
  <c r="H145" i="6"/>
  <c r="H144" i="6"/>
  <c r="H143" i="6"/>
  <c r="H142" i="6"/>
  <c r="H141" i="6"/>
  <c r="H140" i="6"/>
  <c r="H139" i="6"/>
  <c r="H138" i="6"/>
  <c r="H137" i="6"/>
  <c r="H136" i="6"/>
  <c r="H135" i="6"/>
  <c r="H134" i="6"/>
  <c r="H133" i="6"/>
  <c r="H132" i="6"/>
  <c r="H131" i="6"/>
  <c r="H130" i="6"/>
  <c r="H129" i="6"/>
  <c r="H128" i="6"/>
  <c r="H127" i="6"/>
  <c r="H126" i="6"/>
  <c r="H125" i="6"/>
  <c r="H124" i="6"/>
  <c r="H123" i="6"/>
  <c r="H122" i="6"/>
  <c r="H121" i="6"/>
  <c r="H120" i="6"/>
  <c r="H119" i="6"/>
  <c r="H118" i="6"/>
  <c r="H117" i="6"/>
  <c r="H116" i="6"/>
  <c r="H115" i="6"/>
  <c r="H114" i="6"/>
  <c r="H113" i="6"/>
  <c r="H112" i="6"/>
  <c r="H111" i="6"/>
  <c r="H110" i="6"/>
  <c r="H109" i="6"/>
  <c r="H108" i="6"/>
  <c r="H107" i="6"/>
  <c r="H106" i="6"/>
  <c r="H105" i="6"/>
  <c r="H104" i="6"/>
  <c r="H103" i="6"/>
  <c r="H102" i="6"/>
  <c r="H101" i="6"/>
  <c r="H100" i="6"/>
  <c r="H99" i="6"/>
  <c r="H98" i="6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B9" i="8"/>
  <c r="B8" i="8"/>
  <c r="B7" i="8"/>
  <c r="B6" i="8"/>
  <c r="B5" i="8"/>
  <c r="B4" i="8"/>
  <c r="B3" i="8"/>
  <c r="H187" i="5"/>
  <c r="H186" i="5"/>
  <c r="H185" i="5"/>
  <c r="H184" i="5"/>
  <c r="H183" i="5"/>
  <c r="H182" i="5"/>
  <c r="H181" i="5"/>
  <c r="H180" i="5"/>
  <c r="H179" i="5"/>
  <c r="H178" i="5"/>
  <c r="H177" i="5"/>
  <c r="H176" i="5"/>
  <c r="H175" i="5"/>
  <c r="H174" i="5"/>
  <c r="H173" i="5"/>
  <c r="H172" i="5"/>
  <c r="H171" i="5"/>
  <c r="H170" i="5"/>
  <c r="H169" i="5"/>
  <c r="H168" i="5"/>
  <c r="H167" i="5"/>
  <c r="H166" i="5"/>
  <c r="H165" i="5"/>
  <c r="H164" i="5"/>
  <c r="H163" i="5"/>
  <c r="H162" i="5"/>
  <c r="H161" i="5"/>
  <c r="H160" i="5"/>
  <c r="H159" i="5"/>
  <c r="H158" i="5"/>
  <c r="H157" i="5"/>
  <c r="H156" i="5"/>
  <c r="H155" i="5"/>
  <c r="H154" i="5"/>
  <c r="H153" i="5"/>
  <c r="H152" i="5"/>
  <c r="H151" i="5"/>
  <c r="H150" i="5"/>
  <c r="H149" i="5"/>
  <c r="H148" i="5"/>
  <c r="H147" i="5"/>
  <c r="H146" i="5"/>
  <c r="H145" i="5"/>
  <c r="H144" i="5"/>
  <c r="H143" i="5"/>
  <c r="H142" i="5"/>
  <c r="H141" i="5"/>
  <c r="H140" i="5"/>
  <c r="H139" i="5"/>
  <c r="H138" i="5"/>
  <c r="H137" i="5"/>
  <c r="H136" i="5"/>
  <c r="H135" i="5"/>
  <c r="H134" i="5"/>
  <c r="H133" i="5"/>
  <c r="H132" i="5"/>
  <c r="H131" i="5"/>
  <c r="H130" i="5"/>
  <c r="H129" i="5"/>
  <c r="H128" i="5"/>
  <c r="H127" i="5"/>
  <c r="H126" i="5"/>
  <c r="H125" i="5"/>
  <c r="H124" i="5"/>
  <c r="H123" i="5"/>
  <c r="H122" i="5"/>
  <c r="H121" i="5"/>
  <c r="H120" i="5"/>
  <c r="H119" i="5"/>
  <c r="H118" i="5"/>
  <c r="H117" i="5"/>
  <c r="H116" i="5"/>
  <c r="H115" i="5"/>
  <c r="H114" i="5"/>
  <c r="H113" i="5"/>
  <c r="H112" i="5"/>
  <c r="H111" i="5"/>
  <c r="H110" i="5"/>
  <c r="H109" i="5"/>
  <c r="H108" i="5"/>
  <c r="H107" i="5"/>
  <c r="H106" i="5"/>
  <c r="H105" i="5"/>
  <c r="H104" i="5"/>
  <c r="H103" i="5"/>
  <c r="H102" i="5"/>
  <c r="H101" i="5"/>
  <c r="H100" i="5"/>
  <c r="H99" i="5"/>
  <c r="H98" i="5"/>
  <c r="H97" i="5"/>
  <c r="H96" i="5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H2" i="5"/>
  <c r="G7" i="4"/>
  <c r="G6" i="4"/>
  <c r="G5" i="4"/>
  <c r="G4" i="4"/>
  <c r="G3" i="4"/>
  <c r="G2" i="4"/>
</calcChain>
</file>

<file path=xl/comments1.xml><?xml version="1.0" encoding="utf-8"?>
<comments xmlns="http://schemas.openxmlformats.org/spreadsheetml/2006/main">
  <authors>
    <author>acer</author>
  </authors>
  <commentList>
    <comment ref="H1" authorId="0">
      <text>
        <r>
          <rPr>
            <b/>
            <sz val="9"/>
            <color indexed="81"/>
            <rFont val="Tahoma"/>
            <charset val="1"/>
          </rPr>
          <t>acer:</t>
        </r>
        <r>
          <rPr>
            <sz val="9"/>
            <color indexed="81"/>
            <rFont val="Tahoma"/>
            <charset val="1"/>
          </rPr>
          <t xml:space="preserve">
dodatkowa kolumna sprawdzająca czy wizyta zakończona, aby filtrować np. ilość ukończonych wizyt lekarzy
</t>
        </r>
      </text>
    </comment>
  </commentList>
</comments>
</file>

<file path=xl/comments2.xml><?xml version="1.0" encoding="utf-8"?>
<comments xmlns="http://schemas.openxmlformats.org/spreadsheetml/2006/main">
  <authors>
    <author>acer</author>
  </authors>
  <commentList>
    <comment ref="A1" authorId="0">
      <text>
        <r>
          <rPr>
            <b/>
            <sz val="9"/>
            <color indexed="81"/>
            <rFont val="Tahoma"/>
            <charset val="1"/>
          </rPr>
          <t>acer:</t>
        </r>
        <r>
          <rPr>
            <sz val="9"/>
            <color indexed="81"/>
            <rFont val="Tahoma"/>
            <charset val="1"/>
          </rPr>
          <t xml:space="preserve">
tabela pomocnicza do analiz - tabeli przestawnych
</t>
        </r>
      </text>
    </comment>
  </commentList>
</comments>
</file>

<file path=xl/connections.xml><?xml version="1.0" encoding="utf-8"?>
<connections xmlns="http://schemas.openxmlformats.org/spreadsheetml/2006/main">
  <connection id="1" odcFile="C:\Users\acer\Documents\Moje źródła danych\LAPTOP-RGFJNK82 Klinika.odc" keepAlive="1" name="LAPTOP-RGFJNK82 Klinika" type="5" refreshedVersion="4" background="1" saveData="1">
    <dbPr connection="Provider=SQLOLEDB.1;Integrated Security=SSPI;Persist Security Info=True;Initial Catalog=Klinika;Data Source=LAPTOP-RGFJNK82;Use Procedure for Prepare=1;Auto Translate=True;Packet Size=4096;Workstation ID=LAPTOP-RGFJNK82;Use Encryption for Data=False;Tag with column collation when possible=False" command="&quot;Klinika&quot;.&quot;dbo&quot;.&quot;Pets&quot;" commandType="3"/>
  </connection>
  <connection id="2" odcFile="C:\Users\acer\Documents\Moje źródła danych\LAPTOP-RGFJNK82 Klinika Owners.odc" keepAlive="1" name="LAPTOP-RGFJNK82 Klinika Owners" type="5" refreshedVersion="4" background="1" saveData="1">
    <dbPr connection="Provider=SQLOLEDB.1;Integrated Security=SSPI;Persist Security Info=True;Initial Catalog=Klinika;Data Source=LAPTOP-RGFJNK82;Use Procedure for Prepare=1;Auto Translate=True;Packet Size=4096;Workstation ID=LAPTOP-RGFJNK82;Use Encryption for Data=False;Tag with column collation when possible=False" command="&quot;Klinika&quot;.&quot;dbo&quot;.&quot;Owners&quot;" commandType="3"/>
  </connection>
  <connection id="3" odcFile="C:\Users\acer\Documents\Moje źródła danych\LAPTOP-RGFJNK82 Klinika Prescriptions.odc" keepAlive="1" name="LAPTOP-RGFJNK82 Klinika Prescriptions" type="5" refreshedVersion="4" background="1" saveData="1">
    <dbPr connection="Provider=SQLOLEDB.1;Integrated Security=SSPI;Persist Security Info=True;Initial Catalog=Klinika;Data Source=LAPTOP-RGFJNK82;Use Procedure for Prepare=1;Auto Translate=True;Packet Size=4096;Workstation ID=LAPTOP-RGFJNK82;Use Encryption for Data=False;Tag with column collation when possible=False" command="&quot;Klinika&quot;.&quot;dbo&quot;.&quot;Prescriptions&quot;" commandType="3"/>
  </connection>
  <connection id="4" odcFile="C:\Users\acer\Documents\Moje źródła danych\LAPTOP-RGFJNK82 Klinika Treatments.odc" keepAlive="1" name="LAPTOP-RGFJNK82 Klinika Treatments" type="5" refreshedVersion="4" background="1" saveData="1">
    <dbPr connection="Provider=SQLOLEDB.1;Integrated Security=SSPI;Persist Security Info=True;Initial Catalog=Klinika;Data Source=LAPTOP-RGFJNK82;Use Procedure for Prepare=1;Auto Translate=True;Packet Size=4096;Workstation ID=LAPTOP-RGFJNK82;Use Encryption for Data=False;Tag with column collation when possible=False" command="&quot;Klinika&quot;.&quot;dbo&quot;.&quot;Treatments&quot;" commandType="3"/>
  </connection>
  <connection id="5" odcFile="C:\Users\acer\Documents\Moje źródła danych\LAPTOP-RGFJNK82 Klinika Vets.odc" keepAlive="1" name="LAPTOP-RGFJNK82 Klinika Vets" type="5" refreshedVersion="4" background="1" saveData="1">
    <dbPr connection="Provider=SQLOLEDB.1;Integrated Security=SSPI;Persist Security Info=True;Initial Catalog=Klinika;Data Source=LAPTOP-RGFJNK82;Use Procedure for Prepare=1;Auto Translate=True;Packet Size=4096;Workstation ID=LAPTOP-RGFJNK82;Use Encryption for Data=False;Tag with column collation when possible=False" command="&quot;Klinika&quot;.&quot;dbo&quot;.&quot;Vets&quot;" commandType="3"/>
  </connection>
  <connection id="6" odcFile="C:\Users\acer\Documents\Moje źródła danych\LAPTOP-RGFJNK82 Klinika Visits.odc" keepAlive="1" name="LAPTOP-RGFJNK82 Klinika Visits" type="5" refreshedVersion="4" background="1" saveData="1">
    <dbPr connection="Provider=SQLOLEDB.1;Integrated Security=SSPI;Persist Security Info=True;Initial Catalog=Klinika;Data Source=LAPTOP-RGFJNK82;Use Procedure for Prepare=1;Auto Translate=True;Packet Size=4096;Workstation ID=LAPTOP-RGFJNK82;Use Encryption for Data=False;Tag with column collation when possible=False" command="&quot;Klinika&quot;.&quot;dbo&quot;.&quot;Visits&quot;" commandType="3"/>
  </connection>
</connections>
</file>

<file path=xl/sharedStrings.xml><?xml version="1.0" encoding="utf-8"?>
<sst xmlns="http://schemas.openxmlformats.org/spreadsheetml/2006/main" count="1911" uniqueCount="1045">
  <si>
    <t>owner_id</t>
  </si>
  <si>
    <t>first_name</t>
  </si>
  <si>
    <t>last_name</t>
  </si>
  <si>
    <t>phone</t>
  </si>
  <si>
    <t>email</t>
  </si>
  <si>
    <t>city</t>
  </si>
  <si>
    <t>street</t>
  </si>
  <si>
    <t>postal_code</t>
  </si>
  <si>
    <t>Jan</t>
  </si>
  <si>
    <t>Kowalski</t>
  </si>
  <si>
    <t>123456789</t>
  </si>
  <si>
    <t>jan@gmail.com</t>
  </si>
  <si>
    <t>Kraków</t>
  </si>
  <si>
    <t>ul. Długa 10</t>
  </si>
  <si>
    <t>30-011</t>
  </si>
  <si>
    <t>Anna</t>
  </si>
  <si>
    <t>Nowak</t>
  </si>
  <si>
    <t>987654321</t>
  </si>
  <si>
    <t>anna@gmail.com</t>
  </si>
  <si>
    <t>Katowice</t>
  </si>
  <si>
    <t>ul. Znajoma 5</t>
  </si>
  <si>
    <t>40-002</t>
  </si>
  <si>
    <t>Piotr</t>
  </si>
  <si>
    <t>Zieliński</t>
  </si>
  <si>
    <t>222111333</t>
  </si>
  <si>
    <t>ul. Szeroka 8</t>
  </si>
  <si>
    <t>30-111</t>
  </si>
  <si>
    <t>Marzena</t>
  </si>
  <si>
    <t>Mazur</t>
  </si>
  <si>
    <t>987654311</t>
  </si>
  <si>
    <t>m.mazur12@wp.pl</t>
  </si>
  <si>
    <t>Niepołomice</t>
  </si>
  <si>
    <t>ul. Polna 15</t>
  </si>
  <si>
    <t>35-102</t>
  </si>
  <si>
    <t>Ewelina</t>
  </si>
  <si>
    <t>Wójcik</t>
  </si>
  <si>
    <t>123654321</t>
  </si>
  <si>
    <t>ewelina.w@gmail.com</t>
  </si>
  <si>
    <t>ul. Krawiecka 88</t>
  </si>
  <si>
    <t>30-123</t>
  </si>
  <si>
    <t>Tomasz</t>
  </si>
  <si>
    <t>Baran</t>
  </si>
  <si>
    <t>432154321</t>
  </si>
  <si>
    <t>ul. Brzozowa 4</t>
  </si>
  <si>
    <t>31-112</t>
  </si>
  <si>
    <t>Robert</t>
  </si>
  <si>
    <t>Dąbrowski</t>
  </si>
  <si>
    <t>121254321</t>
  </si>
  <si>
    <t>r.dabrowski@onet.pl</t>
  </si>
  <si>
    <t>ul. Sosnowa 11</t>
  </si>
  <si>
    <t>40-111</t>
  </si>
  <si>
    <t>Katarzyna</t>
  </si>
  <si>
    <t>Niewiadoma</t>
  </si>
  <si>
    <t>795132111</t>
  </si>
  <si>
    <t>kat.niew@gmail.com</t>
  </si>
  <si>
    <t>Słomniki</t>
  </si>
  <si>
    <t>ul. Krakowska 22</t>
  </si>
  <si>
    <t>36-321</t>
  </si>
  <si>
    <t>Julia</t>
  </si>
  <si>
    <t>Malarczyk</t>
  </si>
  <si>
    <t>771257327</t>
  </si>
  <si>
    <t>aleja 29 listopada 32</t>
  </si>
  <si>
    <t>31-452</t>
  </si>
  <si>
    <t>Adrian</t>
  </si>
  <si>
    <t>Małysz</t>
  </si>
  <si>
    <t>721357428</t>
  </si>
  <si>
    <t>Zielonki</t>
  </si>
  <si>
    <t>ul. Krakowskie Przedmieście 55</t>
  </si>
  <si>
    <t>32-078</t>
  </si>
  <si>
    <t>Magdalena</t>
  </si>
  <si>
    <t>Kowalczyk</t>
  </si>
  <si>
    <t>601111222</t>
  </si>
  <si>
    <t>magda.k@gmail.com</t>
  </si>
  <si>
    <t>ul. Wiślna 3</t>
  </si>
  <si>
    <t>30-015</t>
  </si>
  <si>
    <t>Krzysztof</t>
  </si>
  <si>
    <t>Wiśniewski</t>
  </si>
  <si>
    <t>602222333</t>
  </si>
  <si>
    <t>Wieliczka</t>
  </si>
  <si>
    <t>ul. Górnicza 7</t>
  </si>
  <si>
    <t>32-020</t>
  </si>
  <si>
    <t>Agnieszka</t>
  </si>
  <si>
    <t>Pawlak</t>
  </si>
  <si>
    <t>603333444</t>
  </si>
  <si>
    <t>a.pawlak@wp.pl</t>
  </si>
  <si>
    <t>ul. Józefińska 12</t>
  </si>
  <si>
    <t>30-530</t>
  </si>
  <si>
    <t>Marcin</t>
  </si>
  <si>
    <t>Krawczyk</t>
  </si>
  <si>
    <t>604444555</t>
  </si>
  <si>
    <t>marcin.kr@onet.pl</t>
  </si>
  <si>
    <t>Myślenice</t>
  </si>
  <si>
    <t>ul. Słoneczna 19</t>
  </si>
  <si>
    <t>32-400</t>
  </si>
  <si>
    <t>Barbara</t>
  </si>
  <si>
    <t>Adamczyk</t>
  </si>
  <si>
    <t>605555666</t>
  </si>
  <si>
    <t>b.adamczyk@gmail.com</t>
  </si>
  <si>
    <t>ul. Rakowicka 44</t>
  </si>
  <si>
    <t>31-510</t>
  </si>
  <si>
    <t>Łukasz</t>
  </si>
  <si>
    <t>Jabłoński</t>
  </si>
  <si>
    <t>606666777</t>
  </si>
  <si>
    <t>Skawina</t>
  </si>
  <si>
    <t>ul. Energetyków 8</t>
  </si>
  <si>
    <t>32-050</t>
  </si>
  <si>
    <t>Monika</t>
  </si>
  <si>
    <t>Woźniak</t>
  </si>
  <si>
    <t>607777888</t>
  </si>
  <si>
    <t>monika.w@gmail.com</t>
  </si>
  <si>
    <t>ul. Prądnicka 67</t>
  </si>
  <si>
    <t>31-202</t>
  </si>
  <si>
    <t>Grzegorz</t>
  </si>
  <si>
    <t>Zając</t>
  </si>
  <si>
    <t>608888999</t>
  </si>
  <si>
    <t>g.zajac@interia.pl</t>
  </si>
  <si>
    <t>ul. Parkowa 3</t>
  </si>
  <si>
    <t>Natalia</t>
  </si>
  <si>
    <t>Kowalska</t>
  </si>
  <si>
    <t>609999000</t>
  </si>
  <si>
    <t>natalia.kow@gmail.com</t>
  </si>
  <si>
    <t>ul. Lipowa 21</t>
  </si>
  <si>
    <t>30-702</t>
  </si>
  <si>
    <t>Damian</t>
  </si>
  <si>
    <t>Piotrowicz</t>
  </si>
  <si>
    <t>610101010</t>
  </si>
  <si>
    <t>Zabierzów</t>
  </si>
  <si>
    <t>ul. Kolejowa 5</t>
  </si>
  <si>
    <t>32-080</t>
  </si>
  <si>
    <t>Sylwia</t>
  </si>
  <si>
    <t>Michalska</t>
  </si>
  <si>
    <t>611111111</t>
  </si>
  <si>
    <t>s.michalska@wp.pl</t>
  </si>
  <si>
    <t>ul. Botaniczna 9</t>
  </si>
  <si>
    <t>31-503</t>
  </si>
  <si>
    <t>Rafał</t>
  </si>
  <si>
    <t>Sikora</t>
  </si>
  <si>
    <t>612121212</t>
  </si>
  <si>
    <t>rafal.sikora@gmail.com</t>
  </si>
  <si>
    <t>ul. Zamkowa 14</t>
  </si>
  <si>
    <t>Dorota</t>
  </si>
  <si>
    <t>Pietrzak</t>
  </si>
  <si>
    <t>613131313</t>
  </si>
  <si>
    <t>ul. Łagiewnicka 55</t>
  </si>
  <si>
    <t>30-417</t>
  </si>
  <si>
    <t>Wojciech</t>
  </si>
  <si>
    <t>Grabowski</t>
  </si>
  <si>
    <t>614141414</t>
  </si>
  <si>
    <t>w.grabowski@onet.pl</t>
  </si>
  <si>
    <t>Nowy Targ</t>
  </si>
  <si>
    <t>ul. Waksmundzka 2</t>
  </si>
  <si>
    <t>34-400</t>
  </si>
  <si>
    <t>Justyna</t>
  </si>
  <si>
    <t>Nowicka</t>
  </si>
  <si>
    <t>615151515</t>
  </si>
  <si>
    <t>justyna.now@gmail.com</t>
  </si>
  <si>
    <t>ul. Fieldorfa 11</t>
  </si>
  <si>
    <t>30-960</t>
  </si>
  <si>
    <t>Sławomir</t>
  </si>
  <si>
    <t>Czarnecki</t>
  </si>
  <si>
    <t>616161616</t>
  </si>
  <si>
    <t>Chrzanów</t>
  </si>
  <si>
    <t>ul. Kusocińskiego 4</t>
  </si>
  <si>
    <t>32-500</t>
  </si>
  <si>
    <t>Paulina</t>
  </si>
  <si>
    <t>Jaworska</t>
  </si>
  <si>
    <t>617171717</t>
  </si>
  <si>
    <t>p.jaworska@gmail.com</t>
  </si>
  <si>
    <t>ul. Bieżanowska 88</t>
  </si>
  <si>
    <t>30-826</t>
  </si>
  <si>
    <t>Irena</t>
  </si>
  <si>
    <t>Wieczorek</t>
  </si>
  <si>
    <t>618181818</t>
  </si>
  <si>
    <t>i.wieczorek@wp.pl</t>
  </si>
  <si>
    <t>Dobczyce</t>
  </si>
  <si>
    <t>ul. Rynek 7</t>
  </si>
  <si>
    <t>32-410</t>
  </si>
  <si>
    <t>Mateusz</t>
  </si>
  <si>
    <t>Lewandowski</t>
  </si>
  <si>
    <t>619191919</t>
  </si>
  <si>
    <t>mateusz.l@gmail.com</t>
  </si>
  <si>
    <t>ul. Kolberga 3</t>
  </si>
  <si>
    <t>31-155</t>
  </si>
  <si>
    <t>Halina</t>
  </si>
  <si>
    <t>Kamińska</t>
  </si>
  <si>
    <t>620202020</t>
  </si>
  <si>
    <t>ul. Opolska 22</t>
  </si>
  <si>
    <t>31-323</t>
  </si>
  <si>
    <t>animal_id</t>
  </si>
  <si>
    <t>name</t>
  </si>
  <si>
    <t>species</t>
  </si>
  <si>
    <t>breed</t>
  </si>
  <si>
    <t>birth_date</t>
  </si>
  <si>
    <t>weight</t>
  </si>
  <si>
    <t>gender</t>
  </si>
  <si>
    <t>Rex</t>
  </si>
  <si>
    <t>pies</t>
  </si>
  <si>
    <t>labrador</t>
  </si>
  <si>
    <t>2020-05-10</t>
  </si>
  <si>
    <t>samiec</t>
  </si>
  <si>
    <t>Mruczek</t>
  </si>
  <si>
    <t>kot</t>
  </si>
  <si>
    <t>dachowiec</t>
  </si>
  <si>
    <t>Bella</t>
  </si>
  <si>
    <t>buldog</t>
  </si>
  <si>
    <t>2023-04-01</t>
  </si>
  <si>
    <t>samica</t>
  </si>
  <si>
    <t>Kropka</t>
  </si>
  <si>
    <t>perski</t>
  </si>
  <si>
    <t>2019-11-05</t>
  </si>
  <si>
    <t>Kruszynka</t>
  </si>
  <si>
    <t>chomik</t>
  </si>
  <si>
    <t>Cynamon</t>
  </si>
  <si>
    <t>Puszek</t>
  </si>
  <si>
    <t>ragdoll</t>
  </si>
  <si>
    <t>2024-05-12</t>
  </si>
  <si>
    <t>Mamba</t>
  </si>
  <si>
    <t>bombajski</t>
  </si>
  <si>
    <t>2023-04-20</t>
  </si>
  <si>
    <t>Maks</t>
  </si>
  <si>
    <t>Kulka</t>
  </si>
  <si>
    <t>Pasztecik</t>
  </si>
  <si>
    <t>Azor</t>
  </si>
  <si>
    <t>kundel</t>
  </si>
  <si>
    <t>Burek</t>
  </si>
  <si>
    <t>owczarek</t>
  </si>
  <si>
    <t>2019-03-15</t>
  </si>
  <si>
    <t>Luna</t>
  </si>
  <si>
    <t>brytyjski</t>
  </si>
  <si>
    <t>2021-07-20</t>
  </si>
  <si>
    <t>Tygrys</t>
  </si>
  <si>
    <t>2020-01-10</t>
  </si>
  <si>
    <t>Zefir</t>
  </si>
  <si>
    <t>beagle</t>
  </si>
  <si>
    <t>2022-06-01</t>
  </si>
  <si>
    <t>Loki</t>
  </si>
  <si>
    <t>2023-02-14</t>
  </si>
  <si>
    <t>Śnieżka</t>
  </si>
  <si>
    <t>królik</t>
  </si>
  <si>
    <t>2022-10-05</t>
  </si>
  <si>
    <t>Hania</t>
  </si>
  <si>
    <t>shih tzu</t>
  </si>
  <si>
    <t>2021-11-30</t>
  </si>
  <si>
    <t>Perełka</t>
  </si>
  <si>
    <t>syberyjski</t>
  </si>
  <si>
    <t>2020-08-12</t>
  </si>
  <si>
    <t>Gniewko</t>
  </si>
  <si>
    <t>2018-05-20</t>
  </si>
  <si>
    <t>Zara</t>
  </si>
  <si>
    <t>doberman</t>
  </si>
  <si>
    <t>2020-09-25</t>
  </si>
  <si>
    <t>Czesia</t>
  </si>
  <si>
    <t>Gucio</t>
  </si>
  <si>
    <t>corgi</t>
  </si>
  <si>
    <t>2022-12-01</t>
  </si>
  <si>
    <t>Basia</t>
  </si>
  <si>
    <t>golden retriever</t>
  </si>
  <si>
    <t>2021-03-18</t>
  </si>
  <si>
    <t>Tofik</t>
  </si>
  <si>
    <t>2020-11-11</t>
  </si>
  <si>
    <t>Lila</t>
  </si>
  <si>
    <t>siamski</t>
  </si>
  <si>
    <t>2022-04-07</t>
  </si>
  <si>
    <t>Bruno</t>
  </si>
  <si>
    <t>boxer</t>
  </si>
  <si>
    <t>2019-08-22</t>
  </si>
  <si>
    <t>Złotko</t>
  </si>
  <si>
    <t>Atlas</t>
  </si>
  <si>
    <t>nowofundland</t>
  </si>
  <si>
    <t>2018-12-15</t>
  </si>
  <si>
    <t>Ruda</t>
  </si>
  <si>
    <t>maine coon</t>
  </si>
  <si>
    <t>2021-05-30</t>
  </si>
  <si>
    <t>Zizi</t>
  </si>
  <si>
    <t>papuga</t>
  </si>
  <si>
    <t>2020-01-01</t>
  </si>
  <si>
    <t>Balbinka</t>
  </si>
  <si>
    <t>2022-07-14</t>
  </si>
  <si>
    <t>Reksio</t>
  </si>
  <si>
    <t>dalmatyńczyk</t>
  </si>
  <si>
    <t>2021-02-28</t>
  </si>
  <si>
    <t>Nero</t>
  </si>
  <si>
    <t>rottweiler</t>
  </si>
  <si>
    <t>2020-06-10</t>
  </si>
  <si>
    <t>Kleopatra</t>
  </si>
  <si>
    <t>egipski mau</t>
  </si>
  <si>
    <t>2023-01-15</t>
  </si>
  <si>
    <t>Fifi</t>
  </si>
  <si>
    <t>chihuahua</t>
  </si>
  <si>
    <t>2021-09-05</t>
  </si>
  <si>
    <t>Miszka</t>
  </si>
  <si>
    <t>Max</t>
  </si>
  <si>
    <t>husky</t>
  </si>
  <si>
    <t>2019-07-20</t>
  </si>
  <si>
    <t>Śmiga</t>
  </si>
  <si>
    <t>Stella</t>
  </si>
  <si>
    <t>spaniel</t>
  </si>
  <si>
    <t>2022-03-12</t>
  </si>
  <si>
    <t>Puch</t>
  </si>
  <si>
    <t>2023-05-20</t>
  </si>
  <si>
    <t>Samson</t>
  </si>
  <si>
    <t>bernardyn</t>
  </si>
  <si>
    <t>2017-11-01</t>
  </si>
  <si>
    <t>Fryderyk</t>
  </si>
  <si>
    <t>norweski leśny</t>
  </si>
  <si>
    <t>2020-10-10</t>
  </si>
  <si>
    <t>Miętka</t>
  </si>
  <si>
    <t>2023-08-03</t>
  </si>
  <si>
    <t>Zuzia</t>
  </si>
  <si>
    <t>maltańczyk</t>
  </si>
  <si>
    <t>2022-06-25</t>
  </si>
  <si>
    <t>Rambo</t>
  </si>
  <si>
    <t>pitbull</t>
  </si>
  <si>
    <t>2020-04-14</t>
  </si>
  <si>
    <t>Kleks</t>
  </si>
  <si>
    <t>Baśka</t>
  </si>
  <si>
    <t>pudel</t>
  </si>
  <si>
    <t>2021-12-20</t>
  </si>
  <si>
    <t>Oreo</t>
  </si>
  <si>
    <t>2022-09-09</t>
  </si>
  <si>
    <t>Hektor</t>
  </si>
  <si>
    <t>dog niemiecki</t>
  </si>
  <si>
    <t>2019-03-03</t>
  </si>
  <si>
    <t>Bianka</t>
  </si>
  <si>
    <t>2023-11-11</t>
  </si>
  <si>
    <t>Puzon</t>
  </si>
  <si>
    <t>sznaucer</t>
  </si>
  <si>
    <t>2020-02-02</t>
  </si>
  <si>
    <t>Tulipan</t>
  </si>
  <si>
    <t>rosyjski niebieski</t>
  </si>
  <si>
    <t>2021-04-04</t>
  </si>
  <si>
    <t>Braveheart</t>
  </si>
  <si>
    <t>szkocki</t>
  </si>
  <si>
    <t>2018-06-16</t>
  </si>
  <si>
    <t>Fizia</t>
  </si>
  <si>
    <t>Wiesio</t>
  </si>
  <si>
    <t>2019-05-01</t>
  </si>
  <si>
    <t>Mela</t>
  </si>
  <si>
    <t>sheltie</t>
  </si>
  <si>
    <t>2022-01-17</t>
  </si>
  <si>
    <t>Pistacjo</t>
  </si>
  <si>
    <t>Diablo</t>
  </si>
  <si>
    <t>cane corso</t>
  </si>
  <si>
    <t>2019-09-09</t>
  </si>
  <si>
    <t>Ciastko</t>
  </si>
  <si>
    <t>2022-05-05</t>
  </si>
  <si>
    <t>Wróbel</t>
  </si>
  <si>
    <t>jack russell</t>
  </si>
  <si>
    <t>2021-07-07</t>
  </si>
  <si>
    <t>Ninka</t>
  </si>
  <si>
    <t>2023-03-22</t>
  </si>
  <si>
    <t>Bajka</t>
  </si>
  <si>
    <t>2020-05-18</t>
  </si>
  <si>
    <t>Karmel</t>
  </si>
  <si>
    <t>burmański</t>
  </si>
  <si>
    <t>2021-10-30</t>
  </si>
  <si>
    <t>Tytan</t>
  </si>
  <si>
    <t>2021-08-08</t>
  </si>
  <si>
    <t>Iskra</t>
  </si>
  <si>
    <t>2022-02-14</t>
  </si>
  <si>
    <t>Ptyś</t>
  </si>
  <si>
    <t>bichon frise</t>
  </si>
  <si>
    <t>2022-11-11</t>
  </si>
  <si>
    <t>Mariolka</t>
  </si>
  <si>
    <t>2023-06-06</t>
  </si>
  <si>
    <t>Pępek</t>
  </si>
  <si>
    <t>2022-08-20</t>
  </si>
  <si>
    <t>Rocky</t>
  </si>
  <si>
    <t>amstaff</t>
  </si>
  <si>
    <t>2021-03-11</t>
  </si>
  <si>
    <t>Mika</t>
  </si>
  <si>
    <t>2022-01-15</t>
  </si>
  <si>
    <t>Leon</t>
  </si>
  <si>
    <t>owczarek niemiecki</t>
  </si>
  <si>
    <t>2020-09-20</t>
  </si>
  <si>
    <t>Koko</t>
  </si>
  <si>
    <t>2021-06-01</t>
  </si>
  <si>
    <t>Tosia</t>
  </si>
  <si>
    <t>Rufi</t>
  </si>
  <si>
    <t>Fado</t>
  </si>
  <si>
    <t>border collie</t>
  </si>
  <si>
    <t>2021-12-12</t>
  </si>
  <si>
    <t>Nela</t>
  </si>
  <si>
    <t>2025-04-10</t>
  </si>
  <si>
    <t>nieznana</t>
  </si>
  <si>
    <t>vet_id</t>
  </si>
  <si>
    <t>specialization</t>
  </si>
  <si>
    <t>hire_date</t>
  </si>
  <si>
    <t>Marek</t>
  </si>
  <si>
    <t>chirurgia</t>
  </si>
  <si>
    <t>791227333</t>
  </si>
  <si>
    <t>2015-03-01</t>
  </si>
  <si>
    <t>Ewa</t>
  </si>
  <si>
    <t>Lis</t>
  </si>
  <si>
    <t>dermatologia</t>
  </si>
  <si>
    <t>324855166</t>
  </si>
  <si>
    <t>2020-06-15</t>
  </si>
  <si>
    <t>Kaczmarek</t>
  </si>
  <si>
    <t>ortopedia</t>
  </si>
  <si>
    <t>127883919</t>
  </si>
  <si>
    <t>2018-09-10</t>
  </si>
  <si>
    <t>radiologia</t>
  </si>
  <si>
    <t>772333444</t>
  </si>
  <si>
    <t>2019-01-20</t>
  </si>
  <si>
    <t>Paweł</t>
  </si>
  <si>
    <t>asystent weterynarii</t>
  </si>
  <si>
    <t>755688717</t>
  </si>
  <si>
    <t>Janusz</t>
  </si>
  <si>
    <t>Szymański</t>
  </si>
  <si>
    <t>kardiologia</t>
  </si>
  <si>
    <t>744628788</t>
  </si>
  <si>
    <t>2018-10-15</t>
  </si>
  <si>
    <t>visit_id</t>
  </si>
  <si>
    <t>visit_date</t>
  </si>
  <si>
    <t>reason</t>
  </si>
  <si>
    <t>notes</t>
  </si>
  <si>
    <t>status</t>
  </si>
  <si>
    <t>szczepienie</t>
  </si>
  <si>
    <t>brak uwag</t>
  </si>
  <si>
    <t>zakończona</t>
  </si>
  <si>
    <t>alergia</t>
  </si>
  <si>
    <t>wysypka na skórze</t>
  </si>
  <si>
    <t>kontrola</t>
  </si>
  <si>
    <t>uraz łapy</t>
  </si>
  <si>
    <t>lekkie kulawienie</t>
  </si>
  <si>
    <t>operacja</t>
  </si>
  <si>
    <t>usunięcie guza</t>
  </si>
  <si>
    <t>badanie ogólne</t>
  </si>
  <si>
    <t>anulowana</t>
  </si>
  <si>
    <t>diagnostyka</t>
  </si>
  <si>
    <t>badanie krwi oraz badanie ogólne</t>
  </si>
  <si>
    <t>uraz spowodowany niefortunnym skokiem</t>
  </si>
  <si>
    <t>kontrola - opatrzenie rany</t>
  </si>
  <si>
    <t>rana w fazie gojenia</t>
  </si>
  <si>
    <t>kontrola - uraz łapy</t>
  </si>
  <si>
    <t>kontrola po operacji chomika</t>
  </si>
  <si>
    <t>szczepionka przeciw parwowirozie</t>
  </si>
  <si>
    <t>kontrola skóry</t>
  </si>
  <si>
    <t>alergia kontaktowa - podrażnienie</t>
  </si>
  <si>
    <t>uraz</t>
  </si>
  <si>
    <t>skręcenie łapy przedniej</t>
  </si>
  <si>
    <t>kastracja</t>
  </si>
  <si>
    <t>zabieg kastracji - przebieg pomyślny</t>
  </si>
  <si>
    <t>zwierzę w dobrej kondycji</t>
  </si>
  <si>
    <t>szczepionka mix podstawowy</t>
  </si>
  <si>
    <t>nadwrażliwość pokarmowa</t>
  </si>
  <si>
    <t>złamanie palca - szyna gipsowa</t>
  </si>
  <si>
    <t>badanie serca</t>
  </si>
  <si>
    <t>EKG wykonane, brak nieprawidłowości</t>
  </si>
  <si>
    <t>sterylizacja</t>
  </si>
  <si>
    <t>zabieg sterylizacji - bez komplikacji</t>
  </si>
  <si>
    <t>badanie krwi i RTG klatki piersiowej</t>
  </si>
  <si>
    <t>kontrola po alergii - poprawa</t>
  </si>
  <si>
    <t>odrobaczanie</t>
  </si>
  <si>
    <t>podanie preparatu odrobaczającego</t>
  </si>
  <si>
    <t>szmer sercowy - dalsza obserwacja</t>
  </si>
  <si>
    <t>dermatoza</t>
  </si>
  <si>
    <t>grzybica skóry - leczenie miejscowe</t>
  </si>
  <si>
    <t>kastracja samca - przebieg prawidłowy</t>
  </si>
  <si>
    <t>kontrola po szczepieniu - brak odczynu</t>
  </si>
  <si>
    <t>rany od zadrapania - oczyszczenie</t>
  </si>
  <si>
    <t>szczepionka przeciw kocim chorobom</t>
  </si>
  <si>
    <t>kontrola po wykrytym szmerze</t>
  </si>
  <si>
    <t>wyprysk alergiczny - poprawa</t>
  </si>
  <si>
    <t>ocena ruchomości stawów</t>
  </si>
  <si>
    <t>morfologia krwi,  wyniki w normie</t>
  </si>
  <si>
    <t>profilaktyczne odrobaczanie</t>
  </si>
  <si>
    <t>USG serca</t>
  </si>
  <si>
    <t>Łupież</t>
  </si>
  <si>
    <t>usunięcie ciała obcego z żołądka</t>
  </si>
  <si>
    <t>złamanie kości śródstopia</t>
  </si>
  <si>
    <t>szczepienie roczne - przypomnienie</t>
  </si>
  <si>
    <t>nadwaga - zalecona dieta</t>
  </si>
  <si>
    <t>wdrożenie leczenia sercowego</t>
  </si>
  <si>
    <t>pierwsza wizyta - wywiad alergiczny</t>
  </si>
  <si>
    <t>usunięcie tłuszczaka</t>
  </si>
  <si>
    <t>kontrola po złamaniu - zrost</t>
  </si>
  <si>
    <t>badanie moczu, ultrasonografia</t>
  </si>
  <si>
    <t>kontrola EKG - wyniki stabilne</t>
  </si>
  <si>
    <t>szczepionka DHPPI+Lepto</t>
  </si>
  <si>
    <t>liszaj - leczenie miejscowe</t>
  </si>
  <si>
    <t>kontrola ortopedyczna</t>
  </si>
  <si>
    <t>kontrola po złamaniu – dobry zrost</t>
  </si>
  <si>
    <t>RTG klatki piersiowej</t>
  </si>
  <si>
    <t>odrobaczanie profilaktyczne</t>
  </si>
  <si>
    <t>usunięcie zęba mlecznego</t>
  </si>
  <si>
    <t>zapalenie skóry - maść</t>
  </si>
  <si>
    <t>zwichnięcie stawu kolanowego</t>
  </si>
  <si>
    <t>kontrola - stabilny stan</t>
  </si>
  <si>
    <t>badanie krwi pełne</t>
  </si>
  <si>
    <t>biopsja guza</t>
  </si>
  <si>
    <t>kontrola po leczeniu alergii</t>
  </si>
  <si>
    <t>ocena chodu po urazie</t>
  </si>
  <si>
    <t>profilaktyka - wiek 1 rok</t>
  </si>
  <si>
    <t>EKG - nieznaczne odchylenia</t>
  </si>
  <si>
    <t>USG jamy brzusznej</t>
  </si>
  <si>
    <t>usunięcie kamieni nerkowych</t>
  </si>
  <si>
    <t>wyprysk - kontrola po leczeniu</t>
  </si>
  <si>
    <t>szczepionka przypominająca</t>
  </si>
  <si>
    <t>rana cięta łapy - szwy</t>
  </si>
  <si>
    <t>kontrola - poprawa</t>
  </si>
  <si>
    <t>kontrola alergii</t>
  </si>
  <si>
    <t>alergia wygasza się</t>
  </si>
  <si>
    <t>EKG stabilne</t>
  </si>
  <si>
    <t>kontrola po kastracji</t>
  </si>
  <si>
    <t>wdrożone leki działają</t>
  </si>
  <si>
    <t>kontrola po operacji</t>
  </si>
  <si>
    <t>rana zagojona w 80%</t>
  </si>
  <si>
    <t>kontrola złamania, zrost prawidłowy</t>
  </si>
  <si>
    <t>stabilizacja leczenia</t>
  </si>
  <si>
    <t>kontrola po usunięciu tłuszczaka</t>
  </si>
  <si>
    <t>wyniki moczu - prawidłowe</t>
  </si>
  <si>
    <t>zrost kompletny, zdejmowanie szyny</t>
  </si>
  <si>
    <t>eana po ekstrakcji zagojona</t>
  </si>
  <si>
    <t>rehabilitacja stawu kolanowego</t>
  </si>
  <si>
    <t>kontrola wyników</t>
  </si>
  <si>
    <t>wynik biopsji</t>
  </si>
  <si>
    <t>pełen powrót do sprawności</t>
  </si>
  <si>
    <t>EKG</t>
  </si>
  <si>
    <t>gojenie po operacji nerek</t>
  </si>
  <si>
    <t>szwy usunięte, rana zagojona</t>
  </si>
  <si>
    <t>alergia kontaktowa</t>
  </si>
  <si>
    <t>szmer sercowy</t>
  </si>
  <si>
    <t>grzybica</t>
  </si>
  <si>
    <t>wyprysk</t>
  </si>
  <si>
    <t>kontrola po urazie - pełne zdrowie</t>
  </si>
  <si>
    <t>kontrola po złamaniu, wyniki dobre</t>
  </si>
  <si>
    <t>ocena stawów, brak zmian</t>
  </si>
  <si>
    <t>łupież - poprawa po szamponie</t>
  </si>
  <si>
    <t>dieta</t>
  </si>
  <si>
    <t>kontrola wagi</t>
  </si>
  <si>
    <t>kontrola po leczeniu - znaczna poprawa</t>
  </si>
  <si>
    <t>liszaj wyleczony</t>
  </si>
  <si>
    <t>profilaktyka, brak uwag</t>
  </si>
  <si>
    <t>kontrola po odrobaczaniu</t>
  </si>
  <si>
    <t>zapalenie skóry, wyleczone</t>
  </si>
  <si>
    <t>leczenie utrzymane</t>
  </si>
  <si>
    <t>profilaktyczne badanie roczne</t>
  </si>
  <si>
    <t>alergia sezonowa - łagodna</t>
  </si>
  <si>
    <t>szczepionka DHPPI roczna</t>
  </si>
  <si>
    <t>kontrola łapy - brak dolegliwości</t>
  </si>
  <si>
    <t>wyprysk letni  leczenie</t>
  </si>
  <si>
    <t>zdrowy, brak uwag</t>
  </si>
  <si>
    <t>morfologia, biochemia krwi</t>
  </si>
  <si>
    <t>łapa w pełni sprawna</t>
  </si>
  <si>
    <t>wścieklizna - ważność 3 lata</t>
  </si>
  <si>
    <t>kontrola po kastracji - pełne wygojenie</t>
  </si>
  <si>
    <t>badanie ogólne - brak uwag</t>
  </si>
  <si>
    <t>szczepionka roczna</t>
  </si>
  <si>
    <t>kontrola po sterylizacji - zagojone</t>
  </si>
  <si>
    <t>USG profilaktyczne</t>
  </si>
  <si>
    <t>odrobaczanie letnie</t>
  </si>
  <si>
    <t>wyniki morfologii w normie</t>
  </si>
  <si>
    <t>rany wygojone całkowicie</t>
  </si>
  <si>
    <t>przypomnienie szczepień</t>
  </si>
  <si>
    <t>wyniki krwi - brak odchyleń</t>
  </si>
  <si>
    <t>odrobaczanie sezonowe</t>
  </si>
  <si>
    <t>USG serca - stabilnie</t>
  </si>
  <si>
    <t>dobra reakcja na leczenie</t>
  </si>
  <si>
    <t>kontrola kości - prawidłowy zrost</t>
  </si>
  <si>
    <t>szczepionka wścieklizna, DHPPI</t>
  </si>
  <si>
    <t>kontrola RTG - poprawa</t>
  </si>
  <si>
    <t>wyniki stabilne</t>
  </si>
  <si>
    <t>wysypka</t>
  </si>
  <si>
    <t>odroczone szczepienie wykonane</t>
  </si>
  <si>
    <t>kontrola, brak uwag</t>
  </si>
  <si>
    <t>koniec leczenia alergii</t>
  </si>
  <si>
    <t>szczepienie pełne wykonane</t>
  </si>
  <si>
    <t>USG kontrola - wyniki dobre</t>
  </si>
  <si>
    <t>blizna po operacji prawidłowa</t>
  </si>
  <si>
    <t>wyprysk - całkowita remisja</t>
  </si>
  <si>
    <t>zdrowe zwierzę, brak uwag</t>
  </si>
  <si>
    <t>kontrola, stan dobry</t>
  </si>
  <si>
    <t>pacjent ospały od 2 dni. Planowane podstawowe badanie kliniczne</t>
  </si>
  <si>
    <t>zaplanowana</t>
  </si>
  <si>
    <t>zaplanowano szczepienie przypominające przeciw chorobom zakaźnym</t>
  </si>
  <si>
    <t>kontrola gojenia rany po zabiegu chirurgicznym</t>
  </si>
  <si>
    <t>planowane badania laboratoryjne krwi</t>
  </si>
  <si>
    <t>kontrola po wcześniejszym leczeniu dermatologicznym</t>
  </si>
  <si>
    <t>kontrola po wdrożeniu leczenia kardiologicznego</t>
  </si>
  <si>
    <t>kontrola kończyny po wcześniejszym urazie</t>
  </si>
  <si>
    <t>profilaktyczne badanie kontrolne</t>
  </si>
  <si>
    <t>podejrzenie infekcji układu moczowego</t>
  </si>
  <si>
    <t>właściciel zgłasza szybkie męczenie się zwierzęcia</t>
  </si>
  <si>
    <t>dieta - kontrola wagi</t>
  </si>
  <si>
    <t>kontrola postępów redukcji masy ciała</t>
  </si>
  <si>
    <t>okresowa kontrola stanu zdrowia</t>
  </si>
  <si>
    <t>kontrola po wcześniejszym złamaniu</t>
  </si>
  <si>
    <t>ocena stawu po rehabilitacji</t>
  </si>
  <si>
    <t>kontrola wyników badań laboratoryjnych</t>
  </si>
  <si>
    <t>pacjent osowiały według właściciela</t>
  </si>
  <si>
    <t>chirurgia - kontrola</t>
  </si>
  <si>
    <t>kontrola po zabiegu usunięcia zmiany skórnej</t>
  </si>
  <si>
    <t>kontrola leczenia farmakologicznego</t>
  </si>
  <si>
    <t>planowane badanie biochemiczne krwi</t>
  </si>
  <si>
    <t>usunięcie szwów po zabiegu</t>
  </si>
  <si>
    <t>szczepienie przypominające</t>
  </si>
  <si>
    <t>kontrola rytmu serca i ciśnienia</t>
  </si>
  <si>
    <t>treatment_id</t>
  </si>
  <si>
    <t>description</t>
  </si>
  <si>
    <t>duration</t>
  </si>
  <si>
    <t>cost</t>
  </si>
  <si>
    <t>podanie szczepionki przeciw wściekliźnie</t>
  </si>
  <si>
    <t>Zwierzę było spokojne. Podano szczepionkę. Brak reakcji niepożądanych. Zalecana kontrola za rok.</t>
  </si>
  <si>
    <t>podanie leków na alergię</t>
  </si>
  <si>
    <t>Wysypka zniknęła częściowo. Zalecana kontrola po tygodniu. Podano lek przeciwhistaminowy.</t>
  </si>
  <si>
    <t>kontrola stanu zdrowia</t>
  </si>
  <si>
    <t>Zwierzę w dobrej kondycji. Brak uwag.</t>
  </si>
  <si>
    <t>wykonanie zdjęcia RTG łapy</t>
  </si>
  <si>
    <t>Rana oczyszczona i zabandażowana. Pacjent był niespokojny, zalecano ograniczenie ruchu przez 3 dni.</t>
  </si>
  <si>
    <t>Przeprowadzono operacje guza u chomika. Pacjent był pod narkozą. Operacja przebiegła pomyślnie. Zalecono odpoczynek i leki przeciwbólowe.</t>
  </si>
  <si>
    <t>Standardowe badanie ogólne.</t>
  </si>
  <si>
    <t xml:space="preserve"> Informacja o profilaktyce.</t>
  </si>
  <si>
    <t>Oczyszczenie i zdezynfekowanie rany. Założenie opatrunku i stabilizacja kończyny.</t>
  </si>
  <si>
    <t>Uraz spowodowany niefortunnym skokiem. Rana oczyszczona i zabandażowana. Pacjent był niespokojny, zalecano ograniczenie ruchu przez 3 dni. Kontrola za tydzień.</t>
  </si>
  <si>
    <t>Standardowe badanie kontrolne zwierzęcia.</t>
  </si>
  <si>
    <t>Pacjent zdrowy. Zalecono kontrolę profilaktyczną za 6 miesięcy.</t>
  </si>
  <si>
    <t>Ocena kondycji oraz parametrów życiowych.</t>
  </si>
  <si>
    <t>Brak nieprawidłowości.</t>
  </si>
  <si>
    <t>Podanie szczepionki przeciw wściekliźnie.</t>
  </si>
  <si>
    <t>Brak reakcji poszczepiennej.</t>
  </si>
  <si>
    <t>kontrola rany</t>
  </si>
  <si>
    <t>Kontrola procesu gojenia oraz wymiana opatrunku.</t>
  </si>
  <si>
    <t>Rana goi się prawidłowo. Zmieniono opatrunek.</t>
  </si>
  <si>
    <t>Kontrola urazu łapy po wcześniejszym leczeniu.</t>
  </si>
  <si>
    <t>Kulawienie minimalne. Kontynuować ograniczenie ruchu.</t>
  </si>
  <si>
    <t>kontrola urazu</t>
  </si>
  <si>
    <t>Ocena procesu gojenia kończyny.</t>
  </si>
  <si>
    <t>Stan stabilny. Opatrunek wymieniony.</t>
  </si>
  <si>
    <t>kontrola pooperacyjna</t>
  </si>
  <si>
    <t>Kontrola po zabiegu usunięcia guza.</t>
  </si>
  <si>
    <t>Pacjent w dobrej kondycji. Rana goi się prawidłowo.</t>
  </si>
  <si>
    <t>Podanie szczepionki przeciw parwowirozie i nosówce.</t>
  </si>
  <si>
    <t>Zwierzę spokojne. Brak reakcji niepożądanych. Zalecane szczepienie przypominające za rok.</t>
  </si>
  <si>
    <t>Ocena zmian skórnych, pobranie próbki do badania.</t>
  </si>
  <si>
    <t>Alergia kontaktowa potwierdzona. Zalecono eliminację czynnika drażniącego.</t>
  </si>
  <si>
    <t>Badanie i ocena urazu łapy, wykonanie RTG.</t>
  </si>
  <si>
    <t>Skręcenie I stopnia. Założono stabilizator. Zalecono 5 dni ograniczonego ruchu.</t>
  </si>
  <si>
    <t>Zabieg kastracji samca w znieczuleniu ogólnym.</t>
  </si>
  <si>
    <t>Zabieg przebiegł bez powikłań. Szwy do usunięcia po 10 dniach.</t>
  </si>
  <si>
    <t>Standardowe badanie fizykalne: serce, płuca, jama brzuszna, skóra.</t>
  </si>
  <si>
    <t>Zwierzę w pełni zdrowe. Brak odchyleń.</t>
  </si>
  <si>
    <t>Podanie szczepionki mieszanej (mix podstawowy).</t>
  </si>
  <si>
    <t>Brak reakcji. Kolejne szczepienie za rok.</t>
  </si>
  <si>
    <t>Ocena stanu skóry, wywiad alergiczny.</t>
  </si>
  <si>
    <t>Nadwrażliwość pokarmowa - zmiana karmy na hipoalergiczną.</t>
  </si>
  <si>
    <t>Ocena złamania palca, założenie szyny gipsowej.</t>
  </si>
  <si>
    <t>Złamanie palca IV lewej łapy tylnej. Szyna gipsowa – kontrola za 3 tyg.</t>
  </si>
  <si>
    <t>EKG spoczynkowe, osłuchiwanie serca.</t>
  </si>
  <si>
    <t>Brak nieprawidłowości. Rytm zatokowy prawidłowy.</t>
  </si>
  <si>
    <t>Sterylizacja samicy w znieczuleniu ogólnym.</t>
  </si>
  <si>
    <t>Ovariohysterektomia bez komplikacji. Szwy do zdjęcia po 10 dniach.</t>
  </si>
  <si>
    <t>Morfologia krwi + RTG klatki piersiowej.</t>
  </si>
  <si>
    <t>Wyniki morfologii w normie. RTG bez zmian patologicznych.</t>
  </si>
  <si>
    <t>Kontrolna wizyta po leczeniu alergii.</t>
  </si>
  <si>
    <t>Znaczna poprawa po zmianie diety. Leczenie kontynuować.</t>
  </si>
  <si>
    <t>Podanie preparatu odrobaczającego (Milbactor).</t>
  </si>
  <si>
    <t>Odrobaczanie profilaktyczne. Kolejne za 6 mies.</t>
  </si>
  <si>
    <t>Kompleksowe badanie fizykalne.</t>
  </si>
  <si>
    <t>Brak uwag. Zwierzę zdrowe.</t>
  </si>
  <si>
    <t>Osłuchiwanie i EKG.</t>
  </si>
  <si>
    <t>Szmer sercowy II stopnia. Zalecona kontrola za miesiąc, echo serca.</t>
  </si>
  <si>
    <t>Diagnostyka mykologiczna, pobranie próbek.</t>
  </si>
  <si>
    <t>Grzybica potwierdzona. Wdrożono leczenie miejscowe i ogólne.</t>
  </si>
  <si>
    <t>Kastracja samca, zabieg standardowy.</t>
  </si>
  <si>
    <t>Przebieg prawidłowy. Szwy wchłanialne. Kontrola za tydzień.</t>
  </si>
  <si>
    <t>Kontrola po szczepieniu.</t>
  </si>
  <si>
    <t>Brak odczynu poszczepiennego. Zwierzę zdrowe.</t>
  </si>
  <si>
    <t>Oczyszczenie ran od zadrapania, dezynfekcja.</t>
  </si>
  <si>
    <t>Rany powierzchowne. Oczyszczone i zabezpieczone. Monitorować przez 3 dni.</t>
  </si>
  <si>
    <t>Szczepionka wielowalentna dla kotów (HCPCh).</t>
  </si>
  <si>
    <t>Brak reakcji poszczepiennej. Kolejne za rok.</t>
  </si>
  <si>
    <t>Kontrola szmerów sercowych, EKG i echo.</t>
  </si>
  <si>
    <t>Szmer sercowy stabilny. Wdrożono leczenie farmakologiczne.</t>
  </si>
  <si>
    <t>Kontrola wyprysku alergicznego.</t>
  </si>
  <si>
    <t>Poprawa po kortykoterapii. Dawka redukowana.</t>
  </si>
  <si>
    <t>Pełne badanie fizykalne.</t>
  </si>
  <si>
    <t>Brak uwag. Kondycja bardzo dobra.</t>
  </si>
  <si>
    <t>Ocena ruchomości i zakresu ruchu stawów.</t>
  </si>
  <si>
    <t>Nieznaczna sztywność bioder. Zalecona suplementacja glukosaminy.</t>
  </si>
  <si>
    <t>Morfologia krwi z rozmazem.</t>
  </si>
  <si>
    <t>Wyniki w granicach normy dla gatunku.</t>
  </si>
  <si>
    <t>Profilaktyczne odrobaczanie (Panacur).</t>
  </si>
  <si>
    <t>Bez powikłań. Kolejne za 6 mies.</t>
  </si>
  <si>
    <t>USG serca (echokardiografia).</t>
  </si>
  <si>
    <t>Bez zmian strukturalnych. Frakcja wyrzutowa prawidłowa.</t>
  </si>
  <si>
    <t>Ocena łupieżu, wywiad pielęgnacyjny.</t>
  </si>
  <si>
    <t>Łupież suchy – zalecono szampony lecznicze 2x tydz.</t>
  </si>
  <si>
    <t>Usunięcie ciała obcego z żołądka (laparotomia).</t>
  </si>
  <si>
    <t>Ciało obce (fragment zabawki) usunięte. Przebieg operacji bez komplikacji.</t>
  </si>
  <si>
    <t>RTG + ocena złamania kości śródstopia.</t>
  </si>
  <si>
    <t>Złamanie poprzeczne III kości śródstopia. Unieruchomienie opatrunkiem.</t>
  </si>
  <si>
    <t>Szczepienie roczne przypominające (wścieklizna + DHPPI).</t>
  </si>
  <si>
    <t>Brak odczynu. Certyfikat wystawiony.</t>
  </si>
  <si>
    <t>Kontrola kondycji ciała, pomiar BMI.</t>
  </si>
  <si>
    <t>BMI wskazuje nadwagę. Zalecona dieta redukcyjna -15%.</t>
  </si>
  <si>
    <t>Wdrożenie leczenia - Atenolol + Furosemid.</t>
  </si>
  <si>
    <t>Kardiomiopatia rozstrzeniowa - leczenie przewlekłe wdrożone.</t>
  </si>
  <si>
    <t>Wywiad alergiczny, testy skórne.</t>
  </si>
  <si>
    <t>Alergia atopowa. Identyfikacja alergenów. Immunoterapia zalecona.</t>
  </si>
  <si>
    <t>Chirurgiczne usunięcie tłuszczaka.</t>
  </si>
  <si>
    <t>Lipoma 3 cm usunięta pod znieczuleniem miejscowym. Szwy wchłanialne.</t>
  </si>
  <si>
    <t>Kontrola po złamaniu, ocena radiologiczna.</t>
  </si>
  <si>
    <t>Zrost prawidłowy. Szyna usunięta. Pełen powrót do aktywności.</t>
  </si>
  <si>
    <t>Stabilizacja leczenia - kontrola EKG.</t>
  </si>
  <si>
    <t>EKG wskazuje stabilizację. Dawki leków utrzymane.</t>
  </si>
  <si>
    <t>Szczepionka DHPPI, Lepto.</t>
  </si>
  <si>
    <t>Brak odczynu poszczepiennego. Certyfikat wystawiony.</t>
  </si>
  <si>
    <t>Badanie zmian liszajowych.</t>
  </si>
  <si>
    <t>Liszaj obrączkowy. Wdrożono leczenie przeciwgrzybicze.</t>
  </si>
  <si>
    <t>Kontrola po złamaniu - RTG.</t>
  </si>
  <si>
    <t>Zrost kompletny. Szyna usunięta.</t>
  </si>
  <si>
    <t>Standardowe badanie fizykalne.</t>
  </si>
  <si>
    <t>Brak uwag. Zwierzę w dobrej kondycji.</t>
  </si>
  <si>
    <t>RTG klatki piersiowej.</t>
  </si>
  <si>
    <t>Płuca bez zmian. Serce prawidłowej wielkości.</t>
  </si>
  <si>
    <t>Odrobaczanie - Milbactor tabletki.</t>
  </si>
  <si>
    <t>Odrobaczanie profilaktyczne zrealizowane.</t>
  </si>
  <si>
    <t>Ekstrakcja zęba mlecznego.</t>
  </si>
  <si>
    <t>Ząb mleczny usunięty bez powikłań. Gojenie ok. 5 dni.</t>
  </si>
  <si>
    <t>Ocena zapalenia skóry, pobranie wymazu.</t>
  </si>
  <si>
    <t>Bakteryjne zapalenie skóry. Antybiotyk miejscowy.</t>
  </si>
  <si>
    <t>Ocena zwichnięcia stawu kolanowego.</t>
  </si>
  <si>
    <t>Zwichnięcie II stopnia. Repozycja manualna. Stabilizator na 2 tyg.</t>
  </si>
  <si>
    <t>Kontrola kardiologiczna.</t>
  </si>
  <si>
    <t>Stan stabilny. Leczenie kontynuowane.</t>
  </si>
  <si>
    <t>Morfologia, biochemia krwi.</t>
  </si>
  <si>
    <t>Wyniki w normie.</t>
  </si>
  <si>
    <t>Biopsja guza skóry.</t>
  </si>
  <si>
    <t>Znaczna poprawa. Leki na 7 dni.</t>
  </si>
  <si>
    <t>EKG - nieznaczne odchylenia.</t>
  </si>
  <si>
    <t>Nieznaczne odchylenia STT. Zalecona kontrola za 2 tyg.</t>
  </si>
  <si>
    <t>USG jamy brzusznej.</t>
  </si>
  <si>
    <t>Narządy wewnętrzne bez zmian patologicznych.</t>
  </si>
  <si>
    <t>Usunięcie kamieni nerkowych (urolitotomia).</t>
  </si>
  <si>
    <t>Urolitotomia zakończona sukcesem. Drenaż założony na 48 h.</t>
  </si>
  <si>
    <t>Kontrola po leczeniu wyprysku.</t>
  </si>
  <si>
    <t>Poprawa - zmiana leku na słabszą maść.</t>
  </si>
  <si>
    <t>Szczepionka przypominająca (wścieklizna).</t>
  </si>
  <si>
    <t>Certyfikat wystawiony. Ważność 3 lata.</t>
  </si>
  <si>
    <t>Brak odczynu. Stan zdrowia dobry.</t>
  </si>
  <si>
    <t>Kontrola alergii kontaktowej.</t>
  </si>
  <si>
    <t>Alergia wygasa. Leki odstawione.</t>
  </si>
  <si>
    <t>EKG stabilne, kontrola.</t>
  </si>
  <si>
    <t>Rytm zatokowy prawidłowy. Brak zmian.</t>
  </si>
  <si>
    <t>Kontrola rany po kastracji.</t>
  </si>
  <si>
    <t>Rana zagojona całkowicie. Brak infekcji.</t>
  </si>
  <si>
    <t>Ocena odpowiedzi na leczenie.</t>
  </si>
  <si>
    <t>Leki działają prawidłowo. Dawki utrzymane.</t>
  </si>
  <si>
    <t>Profilaktyczne badanie fizykalne.</t>
  </si>
  <si>
    <t>Kontrola rany po laparotomii.</t>
  </si>
  <si>
    <t>Rana 80% zagojona. Zmiana opatrunku. Kontynuacja leczenia.</t>
  </si>
  <si>
    <t>Ocena radiologiczna złamania.</t>
  </si>
  <si>
    <t>Zrost prawidłowy. Zalecona fizjoterapia.</t>
  </si>
  <si>
    <t>Stabilizacja leczenia kardiologicznego.</t>
  </si>
  <si>
    <t>Stan kliniczny poprawiony. Leki zredukowane.</t>
  </si>
  <si>
    <t>Kontrola po lipomektomii.</t>
  </si>
  <si>
    <t>Blizna prawidłowo zagojona. Brak nawrotu.</t>
  </si>
  <si>
    <t>Badanie moczu - urinaliza.</t>
  </si>
  <si>
    <t>Wyniki prawidłowe. Funkcja nerek zachowana.</t>
  </si>
  <si>
    <t>Zdjęcie szyny, kontrola radiologiczna.</t>
  </si>
  <si>
    <t>Zrost kompletny. Pełne obciążanie możliwe.</t>
  </si>
  <si>
    <t>Kontrola rany po ekstrakcji zęba.</t>
  </si>
  <si>
    <t>Rana zagojona. Brak infekcji.</t>
  </si>
  <si>
    <t>Rehabilitacja stawu kolanowego.</t>
  </si>
  <si>
    <t>Zakres ruchomości 80%. Zalecono ćwiczenia w domu.</t>
  </si>
  <si>
    <t>Kontrola wyników krwi.</t>
  </si>
  <si>
    <t>Normalizacja wartości. Leczenie zakończono.</t>
  </si>
  <si>
    <t>Omówienie wyniku biopsji - zmiana łagodna.</t>
  </si>
  <si>
    <t>Wynik histopatologiczny: gruczolak łojowy - zmiana łagodna. Obserwacja.</t>
  </si>
  <si>
    <t>Pełna ocena funkcjonalna po urazie.</t>
  </si>
  <si>
    <t>Zwierzę chodzi prawidłowo. Zakończenie leczenia.</t>
  </si>
  <si>
    <t>Normalizacja EKG.</t>
  </si>
  <si>
    <t>Pełna normalizacja zapisu. Dawki leków zredukowane o 50%.</t>
  </si>
  <si>
    <t>Kontrola blizny po operacji nerek.</t>
  </si>
  <si>
    <t>Gojenie prawidłowe. Drenaż usunięty. Antybiotyk zakończony.</t>
  </si>
  <si>
    <t>Usunięcie szwów z łapy.</t>
  </si>
  <si>
    <t>Rana zagojona. Szwy usunięte. Zakończenie leczenia.</t>
  </si>
  <si>
    <t>Całkowita remisja. Leczenie zakończone.</t>
  </si>
  <si>
    <t>Szmer sercowy stabilny.</t>
  </si>
  <si>
    <t>Stan niezmienny. Obserwacja kontynuowana co 3 miesiące.</t>
  </si>
  <si>
    <t>Grzybica wyleczona, kontrola.</t>
  </si>
  <si>
    <t>Brak zmian grzybiczych. Leczenie zakończone.</t>
  </si>
  <si>
    <t>Wyprysk - remisja.</t>
  </si>
  <si>
    <t>Skóra czysta. Leczenie zakończone.</t>
  </si>
  <si>
    <t>Kontrola po urazie, pełne zdrowie.</t>
  </si>
  <si>
    <t>Brak dolegliwości. Leczenie zakończone.</t>
  </si>
  <si>
    <t>Kontrola złamania, wyniki dobre.</t>
  </si>
  <si>
    <t>Zrost kompletny. Aktywność nieograniczona.</t>
  </si>
  <si>
    <t>Ocena stawów - brak zmian.</t>
  </si>
  <si>
    <t>Stawy sprawne. Brak konieczności interwencji.</t>
  </si>
  <si>
    <t>Kontrola po leczeniu łupieżu.</t>
  </si>
  <si>
    <t>Łupież ustąpił po szamponie. Kontynuować profilaktycznie.</t>
  </si>
  <si>
    <t>Profilaktyczne badanie roczne.</t>
  </si>
  <si>
    <t>Brak uwag. Wagomiar prawidłowy.</t>
  </si>
  <si>
    <t>Kontrola wagi - postęp leczenia otyłości.</t>
  </si>
  <si>
    <t>Waga -1.2 kg vs wizyta wyjściowa. Dalej dieta redukcyjna.</t>
  </si>
  <si>
    <t>Kontrola po immunoterapii alergicznej.</t>
  </si>
  <si>
    <t>Reakcja na alergeny zmniejszona. Kontynuować cykl.</t>
  </si>
  <si>
    <t>Liszaj wyleczony.</t>
  </si>
  <si>
    <t>Skóra czysta. Terapia zakończona.</t>
  </si>
  <si>
    <t>Profilaktyczna wizyta.</t>
  </si>
  <si>
    <t>Brak uwag.</t>
  </si>
  <si>
    <t>Kontrola po odrobaczaniu.</t>
  </si>
  <si>
    <t>Brak pasożytów. Kolejne odrobaczanie za 6 mies.</t>
  </si>
  <si>
    <t>Zapalenie skóry wyleczone.</t>
  </si>
  <si>
    <t>Kontrola - leczenie kardiologiczne.</t>
  </si>
  <si>
    <t>Stan stabilny. Leki kontynuowane.</t>
  </si>
  <si>
    <t>Rex w pełni zdrowy. Waga prawidłowa.</t>
  </si>
  <si>
    <t>Alergia sezonowa  ocena skóry.</t>
  </si>
  <si>
    <t>Lekkie podrażnienie. Maść łagodząca. Kontrola za 2 tyg.</t>
  </si>
  <si>
    <t>DHPPI roczna - przypomnienie.</t>
  </si>
  <si>
    <t>Kontrola łapy, badanie RTG.</t>
  </si>
  <si>
    <t>Łapa w pełni sprawna. Brak dolegliwości.</t>
  </si>
  <si>
    <t>Wyprysk letni, leczenie miejscowe.</t>
  </si>
  <si>
    <t>Maść kortykosteroidowa na 7 dni. Kontrola.</t>
  </si>
  <si>
    <t>Zdrowy. Brak uwag.</t>
  </si>
  <si>
    <t>Morfologia, biochemia - kontrola.</t>
  </si>
  <si>
    <t>Wyniki bez odchyleń.</t>
  </si>
  <si>
    <t>Łapa w pełni sprawna - finalne badanie.</t>
  </si>
  <si>
    <t>Zakończenie leczenia. Maks w pełni zdrowy.</t>
  </si>
  <si>
    <t>Badanie profilaktyczne.</t>
  </si>
  <si>
    <t>Wścieklizna - ważność 3 lata.</t>
  </si>
  <si>
    <t>Certyfikat wystawiony.</t>
  </si>
  <si>
    <t>Kontrola po kastracji, wygojenie pełne.</t>
  </si>
  <si>
    <t>Rana zagojona całkowicie. Leczenie zakończone.</t>
  </si>
  <si>
    <t>Kompleksowe badanie profilaktyczne.</t>
  </si>
  <si>
    <t>Szczepionka roczna.</t>
  </si>
  <si>
    <t>Brak odczynu. Certyfikat.</t>
  </si>
  <si>
    <t>Kontrola po sterylizacji.</t>
  </si>
  <si>
    <t>Pełne wygojenie. Leczenie zakończone.</t>
  </si>
  <si>
    <t>USG profilaktyczne.</t>
  </si>
  <si>
    <t>Narządy bez zmian.</t>
  </si>
  <si>
    <t>Odrobaczanie letnie.</t>
  </si>
  <si>
    <t>Profilaktyka zrealizowana.</t>
  </si>
  <si>
    <t>Morfologia profilaktyczna.</t>
  </si>
  <si>
    <t>Rany po zadrapaniu – wygojone.</t>
  </si>
  <si>
    <t>Brak śladów po ranie. Zakończenie leczenia.</t>
  </si>
  <si>
    <t>Szczepienie przypominające.</t>
  </si>
  <si>
    <t>Brak odczynu.</t>
  </si>
  <si>
    <t>Kontrola morfologii.</t>
  </si>
  <si>
    <t>Wyniki stabilne. Leczenie kontynuowane.</t>
  </si>
  <si>
    <t>Odrobaczanie sezonowe.</t>
  </si>
  <si>
    <t>Bez powikłań.</t>
  </si>
  <si>
    <t>USG serca - kontrola.</t>
  </si>
  <si>
    <t>Stan serca stabilny.</t>
  </si>
  <si>
    <t>Kontrola, dobra odpowiedź na leczenie.</t>
  </si>
  <si>
    <t>Dawki leków utrzymane.</t>
  </si>
  <si>
    <t>Radiologiczna ocena złamania.</t>
  </si>
  <si>
    <t>Kości całkowicie zrośnięte.</t>
  </si>
  <si>
    <t>Szczepienie DHPPI, wścieklizna.</t>
  </si>
  <si>
    <t>Podwójne szczepienie. Certyfikat wystawiony.</t>
  </si>
  <si>
    <t>RTG kontrolne.</t>
  </si>
  <si>
    <t>Stan prawidłowy.</t>
  </si>
  <si>
    <t>Wyniki stabilne.</t>
  </si>
  <si>
    <t>Wizyta po anulowaniu, kontrola skóry.</t>
  </si>
  <si>
    <t>Lekkia wyprysk. Maść na 5 dni.</t>
  </si>
  <si>
    <t>Odroczone szczepienie wykonane.</t>
  </si>
  <si>
    <t>Brak reakcji.</t>
  </si>
  <si>
    <t>Kompleksowe badanie.</t>
  </si>
  <si>
    <t>Koniec leczenia alergii.</t>
  </si>
  <si>
    <t>Alergia w pełnej remisji.</t>
  </si>
  <si>
    <t>Pełne szczepienie sezonowe.</t>
  </si>
  <si>
    <t>USG kontrolne.</t>
  </si>
  <si>
    <t>Ocena blizny po operacji nerek.</t>
  </si>
  <si>
    <t>Prawidłowe gojenie. Blizna dojrzała.</t>
  </si>
  <si>
    <t>Wyprysk, pełna remisja.</t>
  </si>
  <si>
    <t>Stan dobry, kontrola.</t>
  </si>
  <si>
    <t>Leczenie kardiologiczne przynosi efekty.</t>
  </si>
  <si>
    <t>prescription_id</t>
  </si>
  <si>
    <t>medicine_name</t>
  </si>
  <si>
    <t>dosage</t>
  </si>
  <si>
    <t>duration_days</t>
  </si>
  <si>
    <t>Dolvit Allergy</t>
  </si>
  <si>
    <t>2x dziennie po 1 tabletce</t>
  </si>
  <si>
    <t>Podawać po posiłku.</t>
  </si>
  <si>
    <t>RemediCann</t>
  </si>
  <si>
    <t>2x dziennie</t>
  </si>
  <si>
    <t>Maść przeciwzapalna. Nanieść cienką warstwę na ranę.</t>
  </si>
  <si>
    <t>Meloksykam</t>
  </si>
  <si>
    <t>1x dziennie</t>
  </si>
  <si>
    <t>Środek przeciwbólowy. Podawać w razie bólu.</t>
  </si>
  <si>
    <t>Antybiotyk VetCure</t>
  </si>
  <si>
    <t>2x dziennie po 0.5 ml</t>
  </si>
  <si>
    <t>Podawać po jedzeniu. Obserwować stan zwierzęcia.</t>
  </si>
  <si>
    <t>Podawać zgodnie z zaleceniami lekarza.</t>
  </si>
  <si>
    <t>Dolfos Vetcal D3</t>
  </si>
  <si>
    <t>Witamina D. Podawać razem z jedzeniem.</t>
  </si>
  <si>
    <t>Beaphar Wound Maść</t>
  </si>
  <si>
    <t>Maść łagodzącą stosować na oczyszczoną ranę. Kontrola za tydzień.</t>
  </si>
  <si>
    <t>NexGard Spectra</t>
  </si>
  <si>
    <t>1x w miesiącu</t>
  </si>
  <si>
    <t>Profilaktyka pcheł i kleszczy. Podawać z jedzeniem.</t>
  </si>
  <si>
    <t>Apoquel</t>
  </si>
  <si>
    <t>1x dziennie 5.4 mg</t>
  </si>
  <si>
    <t>Lek przeciwświądowy. Podawać rano.</t>
  </si>
  <si>
    <t>Malaseb szampon</t>
  </si>
  <si>
    <t>2x w tygodniu</t>
  </si>
  <si>
    <t>Myć przez 5 min, spłukać dokładnie.</t>
  </si>
  <si>
    <t>Metacam 1.5 mg/ml</t>
  </si>
  <si>
    <t>NLPZ - podawać z jedzeniem. Nie przekraczać dawki.</t>
  </si>
  <si>
    <t>Gabapentyna 100 mg</t>
  </si>
  <si>
    <t>Środek przeciwbólowy neuropatyczny.</t>
  </si>
  <si>
    <t>Amoksycylina VetMax</t>
  </si>
  <si>
    <t>Antybiotyk pooperacyjny. Podawać 12h między dawkami.</t>
  </si>
  <si>
    <t>Metacam</t>
  </si>
  <si>
    <t>Przeciwbólowe i przeciwzapalne pooperacyjne.</t>
  </si>
  <si>
    <t>Royal Canin Hypoallergenic</t>
  </si>
  <si>
    <t>zgodnie z wagą</t>
  </si>
  <si>
    <t>Karma eliminacyjna. Inne pokarmy wykluczone.</t>
  </si>
  <si>
    <t>Itrafungol 10 mg/ml</t>
  </si>
  <si>
    <t>1x dziennie 5 mg/kg</t>
  </si>
  <si>
    <t>Lek przeciwgrzybiczy systemowy. Podawać z tłuszczem.</t>
  </si>
  <si>
    <t>2x tyg</t>
  </si>
  <si>
    <t>Myć 5 min, spłukać. Na zmiany skórne.</t>
  </si>
  <si>
    <t>Apoquel 3.6 mg</t>
  </si>
  <si>
    <t>Redukcja dawki. Kontynuacja po poprawie.</t>
  </si>
  <si>
    <t>Vetmedin 1.25 mg</t>
  </si>
  <si>
    <t>Lek inotropowy. Podawać 1 h przed jedzeniem.</t>
  </si>
  <si>
    <t>Furosemid 20 mg</t>
  </si>
  <si>
    <t>Diuretyk - obserwować ilość oddawanego moczu.</t>
  </si>
  <si>
    <t>Douxo S3 Calm szampon</t>
  </si>
  <si>
    <t>Szampon kojący. Pozostawić 5 min.</t>
  </si>
  <si>
    <t>Amoksycylina 250 mg</t>
  </si>
  <si>
    <t>Antybiotyk pooperacyjny.</t>
  </si>
  <si>
    <t>Omeprazol wet 10 mg</t>
  </si>
  <si>
    <t>Ochrona błony śluzowej żołądka po operacji.</t>
  </si>
  <si>
    <t>Analgetyk pooperacyjny.</t>
  </si>
  <si>
    <t>Lek przeciwbólowy i przeciwzapalny. Z jedzeniem.</t>
  </si>
  <si>
    <t>Atenolol 25 mg</t>
  </si>
  <si>
    <t>Beta-bloker. Podawać rano. Nie przerywać nagle.</t>
  </si>
  <si>
    <t>Diuretyk. Obserwować apetyt i pragnienie.</t>
  </si>
  <si>
    <t>Vetmedin 2.5 mg</t>
  </si>
  <si>
    <t>Poprawa kurczliwości mięśnia sercowego.</t>
  </si>
  <si>
    <t>Apoquel 5.4 mg</t>
  </si>
  <si>
    <t>Faza indukcji. Po 14 dniach zmniejszyć do 1x.</t>
  </si>
  <si>
    <t>Cytopoint 2 mg/kg</t>
  </si>
  <si>
    <t>iniekcja 1x na 4-8 tyg</t>
  </si>
  <si>
    <t>Podana przez lekarza. Kolejna iniekcja za 4-6 tygodni.</t>
  </si>
  <si>
    <t>Amoksycylina 500 mg</t>
  </si>
  <si>
    <t>Profilaktyka antybiotykowa.</t>
  </si>
  <si>
    <t>Przeciwbólowe pooperacyjne.</t>
  </si>
  <si>
    <t>Cosequin DS</t>
  </si>
  <si>
    <t>Suplementacja stawów. Podawać z pokarmem.</t>
  </si>
  <si>
    <t>Terbinafina 250 mg</t>
  </si>
  <si>
    <t>Lek przeciwgrzybiczy. Z jedzeniem.</t>
  </si>
  <si>
    <t>Lamisil krem 1%</t>
  </si>
  <si>
    <t>Stosować miejscowo na zmiany.</t>
  </si>
  <si>
    <t>Amoksycylina</t>
  </si>
  <si>
    <t>Amoksycylina clavulanate</t>
  </si>
  <si>
    <t>Antybiotyk o szerokim spektrum.</t>
  </si>
  <si>
    <t>Przeciwbólowe i przeciwzapalne.</t>
  </si>
  <si>
    <t>Amoksycylina 125 mg</t>
  </si>
  <si>
    <t>Profilaktyka po ekstrakcji. Kruszyć w pokarmie.</t>
  </si>
  <si>
    <t>Metacam 0.5 mg/ml</t>
  </si>
  <si>
    <t>Ból poekstrakcyjny. Zmniejszyć dawkę po 2 dniach.</t>
  </si>
  <si>
    <t>Fuciderm żel</t>
  </si>
  <si>
    <t>Antybiotyk + kortykosteroid miejscowo.</t>
  </si>
  <si>
    <t>Rimadyl 50 mg</t>
  </si>
  <si>
    <t>NLPZ. Podawać z jedzeniem.</t>
  </si>
  <si>
    <t>Tramadol 50 mg</t>
  </si>
  <si>
    <t>Silniejszy analgetyk. Krótkoterminowo.</t>
  </si>
  <si>
    <t>Profilaktycznie po biopsji.</t>
  </si>
  <si>
    <t>Sotalol 40 mg</t>
  </si>
  <si>
    <t>Lek antyarytmiczny. Nie przerywać nagle.</t>
  </si>
  <si>
    <t>Urinary S/O karma</t>
  </si>
  <si>
    <t>Karma mokra nerkowa. Zmniejsza ryzyko nawrotu.</t>
  </si>
  <si>
    <t>Fuciderm krem</t>
  </si>
  <si>
    <t>Na ranę po dezynfekcji. Nie lizać - kołnierz.</t>
  </si>
  <si>
    <t>Ból po urazie.</t>
  </si>
  <si>
    <t>Atenolol 12.5 mg</t>
  </si>
  <si>
    <t>Beta-bloker, dawka startowa.</t>
  </si>
  <si>
    <t>Diuretyk pętlowy.</t>
  </si>
  <si>
    <t>Royal Canin Satiety</t>
  </si>
  <si>
    <t>zgodnie z wagą -15%</t>
  </si>
  <si>
    <t>Karma odchudzająca. Ważyć porcje. Nie dokarmia.</t>
  </si>
  <si>
    <t>Alergen mix iniekcja</t>
  </si>
  <si>
    <t>1x na 4 tyg</t>
  </si>
  <si>
    <t>Iniekcja immunoterapeutyczna, kolejna za 4 tyg.</t>
  </si>
  <si>
    <t>Kontynuacja leczenia alergii sezonowej.</t>
  </si>
  <si>
    <t>Kontynuacja leczenia arytmii.</t>
  </si>
  <si>
    <t>Długoterminowa suplementacja stawów.</t>
  </si>
  <si>
    <t>Vetmedin 1.25 mg (zmniejszona)</t>
  </si>
  <si>
    <t>Dawka zredukowana o 50%. Kontynuować.</t>
  </si>
  <si>
    <t>Furosemid 10 mg</t>
  </si>
  <si>
    <t>Dawka zredukowana. Obserwować obrzęki.</t>
  </si>
  <si>
    <t>Tabela KPI</t>
  </si>
  <si>
    <t>Metryka</t>
  </si>
  <si>
    <t>Wartość</t>
  </si>
  <si>
    <t>Liczba pacjentów</t>
  </si>
  <si>
    <t>Łączny przychód</t>
  </si>
  <si>
    <t>Średni koszt zabiegu</t>
  </si>
  <si>
    <t>Najtańszy zabieg</t>
  </si>
  <si>
    <t>Najdroższy zabieg</t>
  </si>
  <si>
    <t>Liczba zabiegów</t>
  </si>
  <si>
    <t>Anulowane wizyty</t>
  </si>
  <si>
    <t>Lekarz</t>
  </si>
  <si>
    <t>Wizyty</t>
  </si>
  <si>
    <t>FullName</t>
  </si>
  <si>
    <t>Suma z vet_id</t>
  </si>
  <si>
    <t>Etykiety wierszy</t>
  </si>
  <si>
    <t>Suma końcowa</t>
  </si>
  <si>
    <t>Anna Wójcik</t>
  </si>
  <si>
    <t>Ewa Lis</t>
  </si>
  <si>
    <t>Janusz Szymański</t>
  </si>
  <si>
    <t>Marek Nowak</t>
  </si>
  <si>
    <t>Paweł Mazur</t>
  </si>
  <si>
    <t>Tomasz Kaczmarek</t>
  </si>
  <si>
    <t>is_visit</t>
  </si>
  <si>
    <t>Całkowita suma zabiegów</t>
  </si>
  <si>
    <t>Szczepienie wykonane prawidłowo. Brak działań niepożądanych.</t>
  </si>
  <si>
    <t>Zalecana obserwacja przez 24h po szczepieniu.</t>
  </si>
  <si>
    <t>Kontrolne badanie USG jamy brzusznej.</t>
  </si>
  <si>
    <t>Wyniki prawidłowe. Brak zmian.</t>
  </si>
  <si>
    <t>Kontrola pooperacyjna i ocena blizny.</t>
  </si>
  <si>
    <t>Blizna zagojona prawidłowo. Brak infekcji.</t>
  </si>
  <si>
    <t>Kontrola dermatologiczna po leczeniu wyprysku.</t>
  </si>
  <si>
    <t>Całkowita remisja zmian skórnych.</t>
  </si>
  <si>
    <t>Stan zdrowia bardzo dobry. Brak nieprawidłowości.</t>
  </si>
  <si>
    <t>Kontrolne badanie kardiologiczne.</t>
  </si>
  <si>
    <t>Stan stabilny. Parametry sercowe prawidłowe.</t>
  </si>
  <si>
    <t>Ilość</t>
  </si>
  <si>
    <t>Gatunki</t>
  </si>
  <si>
    <t>Średnia kosztu zabiegu</t>
  </si>
  <si>
    <t>top pacjenci</t>
  </si>
  <si>
    <t>petName</t>
  </si>
  <si>
    <t>treatmentCategory</t>
  </si>
  <si>
    <t>Badanie ogólne</t>
  </si>
  <si>
    <t>Chirurgia</t>
  </si>
  <si>
    <t>Dermatologia</t>
  </si>
  <si>
    <t>Diagnostyka</t>
  </si>
  <si>
    <t>Dieta</t>
  </si>
  <si>
    <t>Kardiologia</t>
  </si>
  <si>
    <t>Kontrola</t>
  </si>
  <si>
    <t>Odrobaczanie</t>
  </si>
  <si>
    <t>Ortopedia</t>
  </si>
  <si>
    <t>Szczepienie</t>
  </si>
  <si>
    <t>Liczba zabiegów wg kategorii leczenia</t>
  </si>
  <si>
    <t>Top pacjenci wg kosztów leczenia</t>
  </si>
  <si>
    <t>Imiona zwierząt</t>
  </si>
  <si>
    <t>Całkowita suma</t>
  </si>
  <si>
    <t>Ilość wizyt</t>
  </si>
  <si>
    <t>Kategoria leczenia</t>
  </si>
  <si>
    <t>(Wszystko)</t>
  </si>
  <si>
    <t>Suma z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</si>
</sst>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\ [$zł-415]_-;\-* #,##0.00\ [$zł-415]_-;_-* &quot;-&quot;??\ [$zł-415]_-;_-@_-"/>
    <numFmt numFmtId="165" formatCode="#,##0.00\ &quot;zł&quot;"/>
  </numFmts>
  <fonts count="6" x14ac:knownFonts="1">
    <font>
      <sz val="11"/>
      <color theme="1"/>
      <name val="Calibri"/>
      <family val="2"/>
      <charset val="238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5" fillId="3" borderId="0" applyNumberFormat="0" applyBorder="0" applyAlignment="0" applyProtection="0"/>
    <xf numFmtId="0" fontId="3" fillId="4" borderId="0" applyNumberFormat="0" applyBorder="0" applyAlignment="0" applyProtection="0"/>
  </cellStyleXfs>
  <cellXfs count="21">
    <xf numFmtId="0" fontId="0" fillId="0" borderId="0" xfId="0"/>
    <xf numFmtId="22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4"/>
    </xf>
    <xf numFmtId="0" fontId="0" fillId="0" borderId="0" xfId="0" applyAlignment="1">
      <alignment horizontal="left" indent="5"/>
    </xf>
    <xf numFmtId="0" fontId="0" fillId="0" borderId="0" xfId="0" applyAlignment="1">
      <alignment horizontal="left"/>
    </xf>
    <xf numFmtId="164" fontId="0" fillId="0" borderId="0" xfId="0" applyNumberFormat="1"/>
    <xf numFmtId="0" fontId="0" fillId="2" borderId="1" xfId="0" applyFont="1" applyFill="1" applyBorder="1"/>
    <xf numFmtId="0" fontId="0" fillId="0" borderId="1" xfId="0" applyFont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" fillId="3" borderId="0" xfId="1" applyAlignment="1">
      <alignment horizontal="center"/>
    </xf>
    <xf numFmtId="0" fontId="4" fillId="3" borderId="0" xfId="1" applyFont="1" applyAlignment="1">
      <alignment horizontal="center"/>
    </xf>
    <xf numFmtId="165" fontId="0" fillId="0" borderId="0" xfId="0" applyNumberFormat="1"/>
    <xf numFmtId="0" fontId="3" fillId="4" borderId="0" xfId="2" applyAlignment="1">
      <alignment horizontal="left"/>
    </xf>
  </cellXfs>
  <cellStyles count="3">
    <cellStyle name="40% - akcent 1" xfId="2" builtinId="31"/>
    <cellStyle name="Akcent 1" xfId="1" builtinId="29"/>
    <cellStyle name="Normalny" xfId="0" builtinId="0"/>
  </cellStyles>
  <dxfs count="23">
    <dxf>
      <numFmt numFmtId="165" formatCode="#,##0.00\ &quot;zł&quot;"/>
    </dxf>
    <dxf>
      <numFmt numFmtId="165" formatCode="#,##0.00\ &quot;zł&quot;"/>
    </dxf>
    <dxf>
      <numFmt numFmtId="165" formatCode="#,##0.00\ &quot;zł&quot;"/>
    </dxf>
    <dxf>
      <numFmt numFmtId="165" formatCode="#,##0.00\ &quot;zł&quot;"/>
    </dxf>
    <dxf>
      <numFmt numFmtId="165" formatCode="#,##0.00\ &quot;zł&quot;"/>
    </dxf>
    <dxf>
      <numFmt numFmtId="165" formatCode="#,##0.00\ &quot;zł&quot;"/>
    </dxf>
    <dxf>
      <numFmt numFmtId="165" formatCode="#,##0.00\ &quot;zł&quot;"/>
    </dxf>
    <dxf>
      <numFmt numFmtId="165" formatCode="#,##0.00\ &quot;zł&quot;"/>
    </dxf>
    <dxf>
      <numFmt numFmtId="165" formatCode="#,##0.00\ &quot;zł&quot;"/>
    </dxf>
    <dxf>
      <numFmt numFmtId="165" formatCode="#,##0.00\ &quot;zł&quot;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</dxf>
    <dxf>
      <numFmt numFmtId="0" formatCode="General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34" formatCode="_-* #,##0.00\ &quot;zł&quot;_-;\-* #,##0.00\ &quot;zł&quot;_-;_-* &quot;-&quot;??\ &quot;zł&quot;_-;_-@_-"/>
    </dxf>
    <dxf>
      <numFmt numFmtId="0" formatCode="General"/>
    </dxf>
    <dxf>
      <numFmt numFmtId="27" formatCode="dd/mm/yyyy\ h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[KLinika.xlsx]Analiza!Tabela przestawna3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pl-PL" sz="1400"/>
              <a:t>Średnia kosztu zabiegu</a:t>
            </a:r>
            <a:endParaRPr lang="en-US" sz="1400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"/>
        <c:dLbl>
          <c:idx val="0"/>
          <c:layout>
            <c:manualLayout>
              <c:x val="-4.2698709536307965E-2"/>
              <c:y val="2.42140565762613E-2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"/>
        <c:dLbl>
          <c:idx val="0"/>
          <c:layout>
            <c:manualLayout>
              <c:x val="-4.2657261592300988E-2"/>
              <c:y val="-1.3216681248177311E-2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"/>
        <c:dLbl>
          <c:idx val="0"/>
          <c:layout>
            <c:manualLayout>
              <c:x val="4.2778433945756783E-2"/>
              <c:y val="-5.1310877806940797E-2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4"/>
        <c:dLbl>
          <c:idx val="0"/>
          <c:layout>
            <c:manualLayout>
              <c:x val="5.2376202974628173E-2"/>
              <c:y val="-6.8552785068533101E-2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"/>
        <c:dLbl>
          <c:idx val="0"/>
          <c:layout>
            <c:manualLayout>
              <c:x val="-0.15424125109361331"/>
              <c:y val="-2.6670676582093905E-2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8006942680552027"/>
          <c:y val="0.26593844444143283"/>
          <c:w val="0.44534267273662753"/>
          <c:h val="0.6178075632112251"/>
        </c:manualLayout>
      </c:layout>
      <c:pieChart>
        <c:varyColors val="1"/>
        <c:ser>
          <c:idx val="0"/>
          <c:order val="0"/>
          <c:tx>
            <c:strRef>
              <c:f>Analiza!$G$3</c:f>
              <c:strCache>
                <c:ptCount val="1"/>
                <c:pt idx="0">
                  <c:v>Średnia kosztu zabiegu</c:v>
                </c:pt>
              </c:strCache>
            </c:strRef>
          </c:tx>
          <c:dLbls>
            <c:dLbl>
              <c:idx val="0"/>
              <c:layout>
                <c:manualLayout>
                  <c:x val="4.2778433945756783E-2"/>
                  <c:y val="-5.13108778069407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>
                <c:manualLayout>
                  <c:x val="5.2376202974628173E-2"/>
                  <c:y val="-6.85527850685331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>
                <c:manualLayout>
                  <c:x val="-0.15424125109361331"/>
                  <c:y val="-2.66706765820939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>
                <c:manualLayout>
                  <c:x val="-4.2698709536307965E-2"/>
                  <c:y val="2.421405657626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layout>
                <c:manualLayout>
                  <c:x val="-4.2657261592300988E-2"/>
                  <c:y val="-1.32166812481773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spPr/>
            <c:txPr>
              <a:bodyPr/>
              <a:lstStyle/>
              <a:p>
                <a:pPr>
                  <a:defRPr/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Analiza!$F$4:$F$9</c:f>
              <c:strCache>
                <c:ptCount val="5"/>
                <c:pt idx="0">
                  <c:v>chomik</c:v>
                </c:pt>
                <c:pt idx="1">
                  <c:v>kot</c:v>
                </c:pt>
                <c:pt idx="2">
                  <c:v>królik</c:v>
                </c:pt>
                <c:pt idx="3">
                  <c:v>papuga</c:v>
                </c:pt>
                <c:pt idx="4">
                  <c:v>pies</c:v>
                </c:pt>
              </c:strCache>
            </c:strRef>
          </c:cat>
          <c:val>
            <c:numRef>
              <c:f>Analiza!$G$4:$G$9</c:f>
              <c:numCache>
                <c:formatCode>General</c:formatCode>
                <c:ptCount val="5"/>
                <c:pt idx="0">
                  <c:v>112.72727272727273</c:v>
                </c:pt>
                <c:pt idx="1">
                  <c:v>91.82692307692308</c:v>
                </c:pt>
                <c:pt idx="2">
                  <c:v>191.66666666666666</c:v>
                </c:pt>
                <c:pt idx="3">
                  <c:v>90</c:v>
                </c:pt>
                <c:pt idx="4">
                  <c:v>103.38028169014085</c:v>
                </c:pt>
              </c:numCache>
            </c:numRef>
          </c:val>
        </c:ser>
        <c:ser>
          <c:idx val="1"/>
          <c:order val="1"/>
          <c:tx>
            <c:strRef>
              <c:f>Analiza!$H$3</c:f>
              <c:strCache>
                <c:ptCount val="1"/>
                <c:pt idx="0">
                  <c:v>Suma z cost</c:v>
                </c:pt>
              </c:strCache>
            </c:strRef>
          </c:tx>
          <c:cat>
            <c:strRef>
              <c:f>Analiza!$F$4:$F$9</c:f>
              <c:strCache>
                <c:ptCount val="5"/>
                <c:pt idx="0">
                  <c:v>chomik</c:v>
                </c:pt>
                <c:pt idx="1">
                  <c:v>kot</c:v>
                </c:pt>
                <c:pt idx="2">
                  <c:v>królik</c:v>
                </c:pt>
                <c:pt idx="3">
                  <c:v>papuga</c:v>
                </c:pt>
                <c:pt idx="4">
                  <c:v>pies</c:v>
                </c:pt>
              </c:strCache>
            </c:strRef>
          </c:cat>
          <c:val>
            <c:numRef>
              <c:f>Analiza!$H$4:$H$9</c:f>
              <c:numCache>
                <c:formatCode>#,##0.00\ "zł"</c:formatCode>
                <c:ptCount val="5"/>
                <c:pt idx="0">
                  <c:v>1240</c:v>
                </c:pt>
                <c:pt idx="1">
                  <c:v>4775</c:v>
                </c:pt>
                <c:pt idx="2">
                  <c:v>1150</c:v>
                </c:pt>
                <c:pt idx="3">
                  <c:v>630</c:v>
                </c:pt>
                <c:pt idx="4">
                  <c:v>7340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[KLinika.xlsx]Analiza!Tabela przestawna2</c:name>
    <c:fmtId val="1"/>
  </c:pivotSource>
  <c:chart>
    <c:title>
      <c:tx>
        <c:rich>
          <a:bodyPr/>
          <a:lstStyle/>
          <a:p>
            <a:pPr>
              <a:defRPr sz="1600"/>
            </a:pPr>
            <a:r>
              <a:rPr lang="pl-PL" sz="1600" b="1" i="0" u="none" strike="noStrike" baseline="0"/>
              <a:t>Efektywność pracy lekarzy weterynarii</a:t>
            </a:r>
            <a:endParaRPr lang="pl-PL" sz="1600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spPr>
          <a:effectLst>
            <a:outerShdw blurRad="50800" dist="50800" sx="1000" sy="1000" algn="ctr" rotWithShape="0">
              <a:schemeClr val="bg1"/>
            </a:outerShdw>
          </a:effectLst>
        </c:spPr>
        <c:marker>
          <c:symbol val="none"/>
        </c:marker>
        <c:dLbl>
          <c:idx val="0"/>
          <c:layout/>
          <c:numFmt formatCode="#,##0.00" sourceLinked="0"/>
          <c:spPr>
            <a:ln>
              <a:gradFill>
                <a:gsLst>
                  <a:gs pos="0">
                    <a:schemeClr val="accent1">
                      <a:tint val="66000"/>
                      <a:satMod val="160000"/>
                    </a:schemeClr>
                  </a:gs>
                  <a:gs pos="50000">
                    <a:schemeClr val="accent1">
                      <a:tint val="44500"/>
                      <a:satMod val="160000"/>
                    </a:schemeClr>
                  </a:gs>
                  <a:gs pos="100000">
                    <a:schemeClr val="accent1">
                      <a:tint val="23500"/>
                      <a:satMod val="160000"/>
                    </a:schemeClr>
                  </a:gs>
                </a:gsLst>
                <a:lin ang="5400000" scaled="0"/>
              </a:gradFill>
            </a:ln>
            <a:effectLst>
              <a:outerShdw blurRad="50800" dist="50800" dir="5400000" algn="ctr" rotWithShape="0">
                <a:srgbClr val="C00000">
                  <a:alpha val="68000"/>
                </a:srgbClr>
              </a:outerShdw>
            </a:effectLst>
          </c:spPr>
          <c:txPr>
            <a:bodyPr/>
            <a:lstStyle/>
            <a:p>
              <a:pPr>
                <a:defRPr/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"/>
        <c:spPr>
          <a:noFill/>
        </c:spPr>
        <c:marker>
          <c:symbol val="none"/>
        </c:marker>
      </c:pivotFmt>
      <c:pivotFmt>
        <c:idx val="3"/>
      </c:pivotFmt>
      <c:pivotFmt>
        <c:idx val="4"/>
        <c:dLbl>
          <c:idx val="0"/>
          <c:layout>
            <c:manualLayout>
              <c:x val="0"/>
              <c:y val="1.2269938650306749E-2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>
        <c:manualLayout>
          <c:layoutTarget val="inner"/>
          <c:xMode val="edge"/>
          <c:yMode val="edge"/>
          <c:x val="0.20680576159864075"/>
          <c:y val="0.21935590873226737"/>
          <c:w val="0.53059391126833788"/>
          <c:h val="0.440646989678437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Analiza!$B$3</c:f>
              <c:strCache>
                <c:ptCount val="1"/>
                <c:pt idx="0">
                  <c:v>Wizyty</c:v>
                </c:pt>
              </c:strCache>
            </c:strRef>
          </c:tx>
          <c:invertIfNegative val="0"/>
          <c:cat>
            <c:strRef>
              <c:f>Analiza!$A$4:$A$10</c:f>
              <c:strCache>
                <c:ptCount val="6"/>
                <c:pt idx="0">
                  <c:v>Marek Nowak</c:v>
                </c:pt>
                <c:pt idx="1">
                  <c:v>Paweł Mazur</c:v>
                </c:pt>
                <c:pt idx="2">
                  <c:v>Tomasz Kaczmarek</c:v>
                </c:pt>
                <c:pt idx="3">
                  <c:v>Ewa Lis</c:v>
                </c:pt>
                <c:pt idx="4">
                  <c:v>Anna Wójcik</c:v>
                </c:pt>
                <c:pt idx="5">
                  <c:v>Janusz Szymański</c:v>
                </c:pt>
              </c:strCache>
            </c:strRef>
          </c:cat>
          <c:val>
            <c:numRef>
              <c:f>Analiza!$B$4:$B$10</c:f>
              <c:numCache>
                <c:formatCode>General</c:formatCode>
                <c:ptCount val="6"/>
                <c:pt idx="0">
                  <c:v>31</c:v>
                </c:pt>
                <c:pt idx="1">
                  <c:v>27</c:v>
                </c:pt>
                <c:pt idx="2">
                  <c:v>25</c:v>
                </c:pt>
                <c:pt idx="3">
                  <c:v>25</c:v>
                </c:pt>
                <c:pt idx="4">
                  <c:v>20</c:v>
                </c:pt>
                <c:pt idx="5">
                  <c:v>19</c:v>
                </c:pt>
              </c:numCache>
            </c:numRef>
          </c:val>
        </c:ser>
        <c:ser>
          <c:idx val="1"/>
          <c:order val="1"/>
          <c:tx>
            <c:strRef>
              <c:f>Analiza!$C$3</c:f>
              <c:strCache>
                <c:ptCount val="1"/>
                <c:pt idx="0">
                  <c:v>Całkowita suma zabiegów</c:v>
                </c:pt>
              </c:strCache>
            </c:strRef>
          </c:tx>
          <c:spPr>
            <a:effectLst>
              <a:outerShdw blurRad="50800" dist="50800" sx="1000" sy="1000" algn="ctr" rotWithShape="0">
                <a:schemeClr val="bg1"/>
              </a:outerShdw>
            </a:effectLst>
          </c:spPr>
          <c:invertIfNegative val="0"/>
          <c:dLbls>
            <c:dLbl>
              <c:idx val="4"/>
              <c:layout>
                <c:manualLayout>
                  <c:x val="0"/>
                  <c:y val="1.22699386503067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#,##0.00" sourceLinked="0"/>
            <c:spPr>
              <a:ln>
                <a:gradFill>
                  <a:gsLst>
                    <a:gs pos="0">
                      <a:schemeClr val="accent1">
                        <a:tint val="66000"/>
                        <a:satMod val="160000"/>
                      </a:schemeClr>
                    </a:gs>
                    <a:gs pos="50000">
                      <a:schemeClr val="accent1">
                        <a:tint val="44500"/>
                        <a:satMod val="160000"/>
                      </a:schemeClr>
                    </a:gs>
                    <a:gs pos="100000">
                      <a:schemeClr val="accent1">
                        <a:tint val="23500"/>
                        <a:satMod val="160000"/>
                      </a:schemeClr>
                    </a:gs>
                  </a:gsLst>
                  <a:lin ang="5400000" scaled="0"/>
                </a:gradFill>
              </a:ln>
              <a:effectLst>
                <a:outerShdw blurRad="50800" dist="50800" dir="5400000" algn="ctr" rotWithShape="0">
                  <a:srgbClr val="C00000">
                    <a:alpha val="68000"/>
                  </a:srgbClr>
                </a:outerShdw>
              </a:effectLst>
            </c:spPr>
            <c:txPr>
              <a:bodyPr/>
              <a:lstStyle/>
              <a:p>
                <a:pPr>
                  <a:defRPr/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Analiza!$A$4:$A$10</c:f>
              <c:strCache>
                <c:ptCount val="6"/>
                <c:pt idx="0">
                  <c:v>Marek Nowak</c:v>
                </c:pt>
                <c:pt idx="1">
                  <c:v>Paweł Mazur</c:v>
                </c:pt>
                <c:pt idx="2">
                  <c:v>Tomasz Kaczmarek</c:v>
                </c:pt>
                <c:pt idx="3">
                  <c:v>Ewa Lis</c:v>
                </c:pt>
                <c:pt idx="4">
                  <c:v>Anna Wójcik</c:v>
                </c:pt>
                <c:pt idx="5">
                  <c:v>Janusz Szymański</c:v>
                </c:pt>
              </c:strCache>
            </c:strRef>
          </c:cat>
          <c:val>
            <c:numRef>
              <c:f>Analiza!$C$4:$C$10</c:f>
              <c:numCache>
                <c:formatCode>_-* #,##0.00\ [$zł-415]_-;\-* #,##0.00\ [$zł-415]_-;_-* "-"??\ [$zł-415]_-;_-@_-</c:formatCode>
                <c:ptCount val="6"/>
                <c:pt idx="0">
                  <c:v>4175</c:v>
                </c:pt>
                <c:pt idx="1">
                  <c:v>2130</c:v>
                </c:pt>
                <c:pt idx="2">
                  <c:v>3260</c:v>
                </c:pt>
                <c:pt idx="3">
                  <c:v>2170</c:v>
                </c:pt>
                <c:pt idx="4">
                  <c:v>1410</c:v>
                </c:pt>
                <c:pt idx="5">
                  <c:v>1990</c:v>
                </c:pt>
              </c:numCache>
            </c:numRef>
          </c:val>
        </c:ser>
        <c:ser>
          <c:idx val="2"/>
          <c:order val="2"/>
          <c:tx>
            <c:strRef>
              <c:f>Analiza!$D$3</c:f>
              <c:strCache>
                <c:ptCount val="1"/>
                <c:pt idx="0">
                  <c:v>Średni koszt zabiegu</c:v>
                </c:pt>
              </c:strCache>
            </c:strRef>
          </c:tx>
          <c:spPr>
            <a:noFill/>
          </c:spPr>
          <c:invertIfNegative val="0"/>
          <c:cat>
            <c:strRef>
              <c:f>Analiza!$A$4:$A$10</c:f>
              <c:strCache>
                <c:ptCount val="6"/>
                <c:pt idx="0">
                  <c:v>Marek Nowak</c:v>
                </c:pt>
                <c:pt idx="1">
                  <c:v>Paweł Mazur</c:v>
                </c:pt>
                <c:pt idx="2">
                  <c:v>Tomasz Kaczmarek</c:v>
                </c:pt>
                <c:pt idx="3">
                  <c:v>Ewa Lis</c:v>
                </c:pt>
                <c:pt idx="4">
                  <c:v>Anna Wójcik</c:v>
                </c:pt>
                <c:pt idx="5">
                  <c:v>Janusz Szymański</c:v>
                </c:pt>
              </c:strCache>
            </c:strRef>
          </c:cat>
          <c:val>
            <c:numRef>
              <c:f>Analiza!$D$4:$D$10</c:f>
              <c:numCache>
                <c:formatCode>_-* #,##0.00\ [$zł-415]_-;\-* #,##0.00\ [$zł-415]_-;_-* "-"??\ [$zł-415]_-;_-@_-</c:formatCode>
                <c:ptCount val="6"/>
                <c:pt idx="0">
                  <c:v>134.67741935483872</c:v>
                </c:pt>
                <c:pt idx="1">
                  <c:v>78.888888888888886</c:v>
                </c:pt>
                <c:pt idx="2">
                  <c:v>130.4</c:v>
                </c:pt>
                <c:pt idx="3">
                  <c:v>86.8</c:v>
                </c:pt>
                <c:pt idx="4">
                  <c:v>70.5</c:v>
                </c:pt>
                <c:pt idx="5">
                  <c:v>104.73684210526316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4368128"/>
        <c:axId val="222797824"/>
      </c:barChart>
      <c:catAx>
        <c:axId val="2243681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Lekarze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22797824"/>
        <c:crosses val="autoZero"/>
        <c:auto val="1"/>
        <c:lblAlgn val="ctr"/>
        <c:lblOffset val="100"/>
        <c:noMultiLvlLbl val="0"/>
      </c:catAx>
      <c:valAx>
        <c:axId val="2227978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4368128"/>
        <c:crosses val="autoZero"/>
        <c:crossBetween val="between"/>
      </c:valAx>
    </c:plotArea>
    <c:legend>
      <c:legendPos val="r"/>
      <c:legendEntry>
        <c:idx val="0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29993322090777302"/>
          <c:y val="0.10009629164452603"/>
          <c:w val="0.39960264113327293"/>
          <c:h val="7.3958745954301727E-2"/>
        </c:manualLayout>
      </c:layout>
      <c:overlay val="0"/>
    </c:legend>
    <c:plotVisOnly val="1"/>
    <c:dispBlanksAs val="gap"/>
    <c:showDLblsOverMax val="0"/>
  </c:chart>
  <c:spPr>
    <a:effectLst>
      <a:outerShdw blurRad="50800" dist="50800" dir="5400000" sx="1000" sy="1000" algn="ctr" rotWithShape="0">
        <a:srgbClr val="000000"/>
      </a:outerShdw>
    </a:effectLst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[KLinika.xlsx]Analiza!Tabela przestawna5</c:name>
    <c:fmtId val="0"/>
  </c:pivotSource>
  <c:chart>
    <c:title>
      <c:tx>
        <c:rich>
          <a:bodyPr/>
          <a:lstStyle/>
          <a:p>
            <a:pPr>
              <a:defRPr sz="1600"/>
            </a:pPr>
            <a:r>
              <a:rPr lang="pl-PL" sz="1600" b="1" i="0" u="none" strike="noStrike" baseline="0"/>
              <a:t>Analiza kategorii zabiegów weterynaryjnych</a:t>
            </a:r>
            <a:endParaRPr lang="pl-PL" sz="1600"/>
          </a:p>
        </c:rich>
      </c:tx>
      <c:layout/>
      <c:overlay val="0"/>
    </c:title>
    <c:autoTitleDeleted val="0"/>
    <c:pivotFmts>
      <c:pivotFmt>
        <c:idx val="0"/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"/>
        <c:spPr>
          <a:ln>
            <a:noFill/>
          </a:ln>
        </c:spPr>
        <c:marker>
          <c:symbol val="none"/>
        </c:marker>
      </c:pivotFmt>
      <c:pivotFmt>
        <c:idx val="2"/>
      </c:pivotFmt>
      <c:pivotFmt>
        <c:idx val="3"/>
        <c:dLbl>
          <c:idx val="0"/>
          <c:layout>
            <c:manualLayout>
              <c:x val="-2.0049681289838771E-2"/>
              <c:y val="-6.7948032121729715E-2"/>
            </c:manualLayout>
          </c:layout>
          <c:dLblPos val="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4"/>
        <c:dLbl>
          <c:idx val="0"/>
          <c:layout>
            <c:manualLayout>
              <c:x val="7.1428571428564154E-4"/>
              <c:y val="-3.2191178724828642E-2"/>
            </c:manualLayout>
          </c:layout>
          <c:dLblPos val="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"/>
        <c:dLbl>
          <c:idx val="0"/>
          <c:layout>
            <c:manualLayout>
              <c:x val="-1.3174603174603174E-2"/>
              <c:y val="-5.2056097278662575E-2"/>
            </c:manualLayout>
          </c:layout>
          <c:dLblPos val="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"/>
        <c:dLbl>
          <c:idx val="0"/>
          <c:layout>
            <c:manualLayout>
              <c:x val="-5.0873015873015875E-2"/>
              <c:y val="-7.9866983254030077E-2"/>
            </c:manualLayout>
          </c:layout>
          <c:dLblPos val="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7"/>
        <c:dLbl>
          <c:idx val="0"/>
          <c:layout>
            <c:manualLayout>
              <c:x val="-3.0892857142857142E-2"/>
              <c:y val="-8.7812950675563717E-2"/>
            </c:manualLayout>
          </c:layout>
          <c:dLblPos val="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8"/>
        <c:dLbl>
          <c:idx val="0"/>
          <c:layout>
            <c:manualLayout>
              <c:x val="-3.7906824146981627E-2"/>
              <c:y val="-6.3975048410962937E-2"/>
            </c:manualLayout>
          </c:layout>
          <c:dLblPos val="r"/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>
        <c:manualLayout>
          <c:layoutTarget val="inner"/>
          <c:xMode val="edge"/>
          <c:yMode val="edge"/>
          <c:x val="7.9475846769153854E-2"/>
          <c:y val="0.13303455393318553"/>
          <c:w val="0.70781542932133479"/>
          <c:h val="0.61716293351680551"/>
        </c:manualLayout>
      </c:layout>
      <c:lineChart>
        <c:grouping val="standard"/>
        <c:varyColors val="0"/>
        <c:ser>
          <c:idx val="0"/>
          <c:order val="0"/>
          <c:tx>
            <c:strRef>
              <c:f>Analiza!$P$3</c:f>
              <c:strCache>
                <c:ptCount val="1"/>
                <c:pt idx="0">
                  <c:v>Ilość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dLbls>
            <c:delete val="1"/>
          </c:dLbls>
          <c:cat>
            <c:strRef>
              <c:f>Analiza!$O$4:$O$14</c:f>
              <c:strCache>
                <c:ptCount val="10"/>
                <c:pt idx="0">
                  <c:v>Badanie ogólne</c:v>
                </c:pt>
                <c:pt idx="1">
                  <c:v>Chirurgia</c:v>
                </c:pt>
                <c:pt idx="2">
                  <c:v>Dermatologia</c:v>
                </c:pt>
                <c:pt idx="3">
                  <c:v>Diagnostyka</c:v>
                </c:pt>
                <c:pt idx="4">
                  <c:v>Dieta</c:v>
                </c:pt>
                <c:pt idx="5">
                  <c:v>Kardiologia</c:v>
                </c:pt>
                <c:pt idx="6">
                  <c:v>Kontrola</c:v>
                </c:pt>
                <c:pt idx="7">
                  <c:v>Odrobaczanie</c:v>
                </c:pt>
                <c:pt idx="8">
                  <c:v>Ortopedia</c:v>
                </c:pt>
                <c:pt idx="9">
                  <c:v>Szczepienie</c:v>
                </c:pt>
              </c:strCache>
            </c:strRef>
          </c:cat>
          <c:val>
            <c:numRef>
              <c:f>Analiza!$P$4:$P$14</c:f>
              <c:numCache>
                <c:formatCode>General</c:formatCode>
                <c:ptCount val="10"/>
                <c:pt idx="0">
                  <c:v>18</c:v>
                </c:pt>
                <c:pt idx="1">
                  <c:v>16</c:v>
                </c:pt>
                <c:pt idx="2">
                  <c:v>24</c:v>
                </c:pt>
                <c:pt idx="3">
                  <c:v>15</c:v>
                </c:pt>
                <c:pt idx="4">
                  <c:v>1</c:v>
                </c:pt>
                <c:pt idx="5">
                  <c:v>18</c:v>
                </c:pt>
                <c:pt idx="6">
                  <c:v>11</c:v>
                </c:pt>
                <c:pt idx="7">
                  <c:v>6</c:v>
                </c:pt>
                <c:pt idx="8">
                  <c:v>22</c:v>
                </c:pt>
                <c:pt idx="9">
                  <c:v>16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Analiza!$Q$3</c:f>
              <c:strCache>
                <c:ptCount val="1"/>
                <c:pt idx="0">
                  <c:v>Całkowita suma</c:v>
                </c:pt>
              </c:strCache>
            </c:strRef>
          </c:tx>
          <c:dLbls>
            <c:dLbl>
              <c:idx val="0"/>
              <c:layout>
                <c:manualLayout>
                  <c:x val="-5.0873015873015875E-2"/>
                  <c:y val="-7.98669832540300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>
                <c:manualLayout>
                  <c:x val="-1.3174603174603174E-2"/>
                  <c:y val="-5.205609727866257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>
                <c:manualLayout>
                  <c:x val="7.1428571428564154E-4"/>
                  <c:y val="-3.21911787248286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layout>
                <c:manualLayout>
                  <c:x val="-3.0892857142857142E-2"/>
                  <c:y val="-8.78129506755637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layout>
                <c:manualLayout>
                  <c:x val="-2.0049681289838771E-2"/>
                  <c:y val="-6.79480321217297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layout>
                <c:manualLayout>
                  <c:x val="-3.7906824146981627E-2"/>
                  <c:y val="-6.39750484109629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spPr/>
            <c:txPr>
              <a:bodyPr/>
              <a:lstStyle/>
              <a:p>
                <a:pPr>
                  <a:defRPr/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Analiza!$O$4:$O$14</c:f>
              <c:strCache>
                <c:ptCount val="10"/>
                <c:pt idx="0">
                  <c:v>Badanie ogólne</c:v>
                </c:pt>
                <c:pt idx="1">
                  <c:v>Chirurgia</c:v>
                </c:pt>
                <c:pt idx="2">
                  <c:v>Dermatologia</c:v>
                </c:pt>
                <c:pt idx="3">
                  <c:v>Diagnostyka</c:v>
                </c:pt>
                <c:pt idx="4">
                  <c:v>Dieta</c:v>
                </c:pt>
                <c:pt idx="5">
                  <c:v>Kardiologia</c:v>
                </c:pt>
                <c:pt idx="6">
                  <c:v>Kontrola</c:v>
                </c:pt>
                <c:pt idx="7">
                  <c:v>Odrobaczanie</c:v>
                </c:pt>
                <c:pt idx="8">
                  <c:v>Ortopedia</c:v>
                </c:pt>
                <c:pt idx="9">
                  <c:v>Szczepienie</c:v>
                </c:pt>
              </c:strCache>
            </c:strRef>
          </c:cat>
          <c:val>
            <c:numRef>
              <c:f>Analiza!$Q$4:$Q$14</c:f>
              <c:numCache>
                <c:formatCode>#,##0.00\ "zł"</c:formatCode>
                <c:ptCount val="10"/>
                <c:pt idx="0">
                  <c:v>1075</c:v>
                </c:pt>
                <c:pt idx="1">
                  <c:v>4405</c:v>
                </c:pt>
                <c:pt idx="2">
                  <c:v>1705</c:v>
                </c:pt>
                <c:pt idx="3">
                  <c:v>1625</c:v>
                </c:pt>
                <c:pt idx="4">
                  <c:v>45</c:v>
                </c:pt>
                <c:pt idx="5">
                  <c:v>2420</c:v>
                </c:pt>
                <c:pt idx="6">
                  <c:v>470</c:v>
                </c:pt>
                <c:pt idx="7">
                  <c:v>205</c:v>
                </c:pt>
                <c:pt idx="8">
                  <c:v>2215</c:v>
                </c:pt>
                <c:pt idx="9">
                  <c:v>970</c:v>
                </c:pt>
              </c:numCache>
            </c:numRef>
          </c:val>
          <c:smooth val="0"/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24370176"/>
        <c:axId val="222801280"/>
      </c:lineChart>
      <c:catAx>
        <c:axId val="224370176"/>
        <c:scaling>
          <c:orientation val="minMax"/>
        </c:scaling>
        <c:delete val="0"/>
        <c:axPos val="b"/>
        <c:majorTickMark val="out"/>
        <c:minorTickMark val="none"/>
        <c:tickLblPos val="nextTo"/>
        <c:crossAx val="222801280"/>
        <c:crosses val="autoZero"/>
        <c:auto val="1"/>
        <c:lblAlgn val="ctr"/>
        <c:lblOffset val="100"/>
        <c:noMultiLvlLbl val="0"/>
      </c:catAx>
      <c:valAx>
        <c:axId val="2228012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4370176"/>
        <c:crosses val="autoZero"/>
        <c:crossBetween val="between"/>
      </c:valAx>
    </c:plotArea>
    <c:plotVisOnly val="1"/>
    <c:dispBlanksAs val="gap"/>
    <c:showDLblsOverMax val="0"/>
  </c:chart>
  <c:spPr>
    <a:solidFill>
      <a:sysClr val="window" lastClr="FFFFFF"/>
    </a:solidFill>
    <a:ln>
      <a:noFill/>
    </a:ln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358140</xdr:colOff>
      <xdr:row>11</xdr:row>
      <xdr:rowOff>22860</xdr:rowOff>
    </xdr:from>
    <xdr:to>
      <xdr:col>9</xdr:col>
      <xdr:colOff>426720</xdr:colOff>
      <xdr:row>25</xdr:row>
      <xdr:rowOff>0</xdr:rowOff>
    </xdr:to>
    <xdr:graphicFrame macro="">
      <xdr:nvGraphicFramePr>
        <xdr:cNvPr id="3" name="Wykres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167640</xdr:colOff>
      <xdr:row>10</xdr:row>
      <xdr:rowOff>163830</xdr:rowOff>
    </xdr:from>
    <xdr:to>
      <xdr:col>3</xdr:col>
      <xdr:colOff>1051560</xdr:colOff>
      <xdr:row>27</xdr:row>
      <xdr:rowOff>160020</xdr:rowOff>
    </xdr:to>
    <xdr:graphicFrame macro="">
      <xdr:nvGraphicFramePr>
        <xdr:cNvPr id="5" name="Wykres 4" title="fef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14</xdr:row>
      <xdr:rowOff>106680</xdr:rowOff>
    </xdr:from>
    <xdr:to>
      <xdr:col>19</xdr:col>
      <xdr:colOff>129540</xdr:colOff>
      <xdr:row>33</xdr:row>
      <xdr:rowOff>15240</xdr:rowOff>
    </xdr:to>
    <xdr:graphicFrame macro="">
      <xdr:nvGraphicFramePr>
        <xdr:cNvPr id="8" name="Wykres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0</xdr:col>
      <xdr:colOff>175261</xdr:colOff>
      <xdr:row>29</xdr:row>
      <xdr:rowOff>53340</xdr:rowOff>
    </xdr:from>
    <xdr:ext cx="8656320" cy="5082540"/>
    <xdr:sp macro="" textlink="">
      <xdr:nvSpPr>
        <xdr:cNvPr id="2" name="pole tekstowe 1"/>
        <xdr:cNvSpPr txBox="1"/>
      </xdr:nvSpPr>
      <xdr:spPr>
        <a:xfrm>
          <a:off x="175261" y="5356860"/>
          <a:ext cx="8656320" cy="508254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l-PL" sz="1400"/>
            <a:t>Wnioski:</a:t>
          </a:r>
          <a:r>
            <a:rPr lang="pl-PL" sz="1400" baseline="0"/>
            <a:t> </a:t>
          </a:r>
        </a:p>
        <a:p>
          <a:r>
            <a:rPr lang="pl-PL" sz="1200" baseline="0"/>
            <a:t>Lekarze</a:t>
          </a:r>
        </a:p>
        <a:p>
          <a:r>
            <a:rPr lang="pl-PL" sz="1100" baseline="0"/>
            <a:t>- </a:t>
          </a:r>
          <a:r>
            <a:rPr lang="pl-PL"/>
            <a:t>Największą liczbę wizyt obsłużył </a:t>
          </a:r>
          <a:r>
            <a:rPr lang="pl-PL" b="0"/>
            <a:t>Marek Nowak </a:t>
          </a:r>
          <a:r>
            <a:rPr lang="pl-PL" b="0" baseline="0"/>
            <a:t> wynoszącą </a:t>
          </a:r>
          <a:r>
            <a:rPr lang="pl-PL" b="0"/>
            <a:t>31 </a:t>
          </a:r>
          <a:r>
            <a:rPr lang="pl-PL"/>
            <a:t>oraz wygenerował najwyższy całkowity przychód </a:t>
          </a:r>
          <a:r>
            <a:rPr lang="pl-PL" b="0"/>
            <a:t>4175 zł, </a:t>
          </a:r>
          <a:r>
            <a:rPr lang="pl-PL"/>
            <a:t>co wskazuje na największe  obciążenie pracą i jednocześnie wysoką efektywność finansową.</a:t>
          </a:r>
          <a:r>
            <a:rPr lang="pl-PL" baseline="0"/>
            <a:t> </a:t>
          </a:r>
          <a:r>
            <a:rPr lang="pl-PL" b="0"/>
            <a:t>Anna Wójcik </a:t>
          </a:r>
          <a:r>
            <a:rPr lang="pl-PL"/>
            <a:t>ma najniższy całkowity przychód i najniższą średnią wartość wizyty, co może oznaczać mniejsze obciążenie lub mniej skomplikowane przypadki.</a:t>
          </a:r>
        </a:p>
        <a:p>
          <a:endParaRPr lang="pl-PL"/>
        </a:p>
        <a:p>
          <a:r>
            <a:rPr lang="pl-PL" sz="1200"/>
            <a:t>Gatunki</a:t>
          </a:r>
        </a:p>
        <a:p>
          <a:r>
            <a:rPr lang="pl-PL" sz="1100"/>
            <a:t>- </a:t>
          </a:r>
          <a:r>
            <a:rPr lang="pl-PL"/>
            <a:t>Najwyższy średni koszt zabiegów dotyczy </a:t>
          </a:r>
          <a:r>
            <a:rPr lang="pl-PL" b="0"/>
            <a:t>królików -</a:t>
          </a:r>
          <a:r>
            <a:rPr lang="pl-PL" b="0" baseline="0"/>
            <a:t> </a:t>
          </a:r>
          <a:r>
            <a:rPr lang="pl-PL" b="0"/>
            <a:t>191,67 zł, </a:t>
          </a:r>
          <a:r>
            <a:rPr lang="pl-PL"/>
            <a:t>co wskazuje na bardziej kosztowne lub specjalistyczne leczenie tej grupy. </a:t>
          </a:r>
        </a:p>
        <a:p>
          <a:r>
            <a:rPr lang="pl-PL" b="0"/>
            <a:t>Psy generują umiarkowany koszt w</a:t>
          </a:r>
          <a:r>
            <a:rPr lang="pl-PL" b="0" baseline="0"/>
            <a:t> okolicach </a:t>
          </a:r>
          <a:r>
            <a:rPr lang="pl-PL" b="0"/>
            <a:t>103,38 zł, ale prawdopodobnie stanowią największą grupę pacjentów.</a:t>
          </a:r>
        </a:p>
        <a:p>
          <a:r>
            <a:rPr lang="pl-PL" b="0"/>
            <a:t>Koty i papugi mają podobny, niższy średni koszt w</a:t>
          </a:r>
          <a:r>
            <a:rPr lang="pl-PL" b="0" baseline="0"/>
            <a:t> zakresie 9</a:t>
          </a:r>
          <a:r>
            <a:rPr lang="pl-PL" b="0"/>
            <a:t>0-92 zł, co sugeruje standardowe procedury. </a:t>
          </a:r>
        </a:p>
        <a:p>
          <a:r>
            <a:rPr lang="pl-PL" b="0"/>
            <a:t>Chomiki mają stosunkowo wyższy średni koszt niż koty i psy, co może wynikać z mniejszej liczby przypadków, ale bardziej specjalistycznych interwencji. </a:t>
          </a:r>
        </a:p>
        <a:p>
          <a:r>
            <a:rPr lang="pl-PL" b="0"/>
            <a:t>Psy wygenerowały najwyższy łączny przychód w</a:t>
          </a:r>
          <a:r>
            <a:rPr lang="pl-PL" b="0" baseline="0"/>
            <a:t> okolicach </a:t>
          </a:r>
          <a:r>
            <a:rPr lang="pl-PL" b="0"/>
            <a:t>7340 zł, przy średnim koszcie zabiegu wynoszącym około 103,38 zł. Oznacza to, że</a:t>
          </a:r>
          <a:r>
            <a:rPr lang="pl-PL" b="0" baseline="0"/>
            <a:t> ten gatunek </a:t>
          </a:r>
          <a:r>
            <a:rPr lang="pl-PL" b="0"/>
            <a:t>prawdopodobnie stanowi najliczniejszą grupę pacjentów kliniki. Koty zajmują drugie miejsce pod względem łącznych kosztów -</a:t>
          </a:r>
          <a:r>
            <a:rPr lang="pl-PL" b="0" baseline="0"/>
            <a:t> </a:t>
          </a:r>
          <a:r>
            <a:rPr lang="pl-PL" b="0"/>
            <a:t>4775 zł.</a:t>
          </a:r>
          <a:r>
            <a:rPr lang="pl-PL" b="0" baseline="0"/>
            <a:t> Natomiast</a:t>
          </a:r>
          <a:r>
            <a:rPr lang="pl-PL" b="1" baseline="0"/>
            <a:t> </a:t>
          </a:r>
          <a:r>
            <a:rPr lang="pl-PL" b="0" baseline="0"/>
            <a:t>p</a:t>
          </a:r>
          <a:r>
            <a:rPr lang="pl-PL" b="0"/>
            <a:t>apugi charakteryzują się najniższą łączną wartością usług 630 zł oraz jednym z najniższych średnich kosztów zabiegu 90 zł, co wskazuje na niewielki udział tej grupy w działalności kliniki.</a:t>
          </a:r>
        </a:p>
        <a:p>
          <a:r>
            <a:rPr lang="pl-PL" b="0"/>
            <a:t>Podsumowując,</a:t>
          </a:r>
          <a:r>
            <a:rPr lang="pl-PL" b="0" baseline="0"/>
            <a:t> </a:t>
          </a:r>
          <a:r>
            <a:rPr lang="pl-PL"/>
            <a:t>koszt leczenia zależy bardziej od typu zwierzęcia niż od samej liczby przypadków.</a:t>
          </a:r>
        </a:p>
        <a:p>
          <a:endParaRPr lang="pl-PL"/>
        </a:p>
        <a:p>
          <a:r>
            <a:rPr lang="pl-PL" sz="1200"/>
            <a:t>Konkretni pacjenci</a:t>
          </a:r>
        </a:p>
        <a:p>
          <a:r>
            <a:rPr lang="pl-PL"/>
            <a:t>- </a:t>
          </a:r>
          <a:r>
            <a:rPr lang="pl-PL" b="0"/>
            <a:t>Największe łączne koszty leczenia generują pacjenci tacy jak Ptyś -</a:t>
          </a:r>
          <a:r>
            <a:rPr lang="pl-PL" b="0" baseline="0"/>
            <a:t> </a:t>
          </a:r>
          <a:r>
            <a:rPr lang="pl-PL" b="0"/>
            <a:t>1250 zł i Puch - 940 zł, co wskazuje na bardziej złożone lub częstsze wizyty. </a:t>
          </a:r>
        </a:p>
        <a:p>
          <a:r>
            <a:rPr lang="pl-PL" b="0"/>
            <a:t>Większość zwierząt ma 2 wizyty, co oznacza powtarzalność leczenia i kontrolny charakter opieki. </a:t>
          </a:r>
          <a:r>
            <a:rPr lang="pl-PL" b="0" baseline="0"/>
            <a:t> Pacjent </a:t>
          </a:r>
          <a:r>
            <a:rPr lang="pl-PL" b="0"/>
            <a:t>Zuzia wyróżnia się największą liczbą wizyt wynoszącą</a:t>
          </a:r>
          <a:r>
            <a:rPr lang="pl-PL" b="0" baseline="0"/>
            <a:t> </a:t>
          </a:r>
          <a:r>
            <a:rPr lang="pl-PL" b="0"/>
            <a:t>3, co może sugerować przewlekły przypadek lub dłuższy proces leczenia. </a:t>
          </a:r>
          <a:r>
            <a:rPr lang="pl-PL" b="0" baseline="0"/>
            <a:t> Na podstawie danych </a:t>
          </a:r>
          <a:r>
            <a:rPr lang="pl-PL" b="0"/>
            <a:t>koszty są silnie skoncentrowane na kilku pacjentach.</a:t>
          </a:r>
        </a:p>
        <a:p>
          <a:endParaRPr lang="pl-PL"/>
        </a:p>
        <a:p>
          <a:r>
            <a:rPr lang="pl-PL" sz="1200"/>
            <a:t>Kategorie leczenia</a:t>
          </a:r>
        </a:p>
        <a:p>
          <a:r>
            <a:rPr lang="pl-PL" sz="1200" b="0"/>
            <a:t>- </a:t>
          </a:r>
          <a:r>
            <a:rPr lang="pl-PL" b="0"/>
            <a:t>Największy udział w kosztach mają</a:t>
          </a:r>
          <a:r>
            <a:rPr lang="pl-PL" b="0" baseline="0"/>
            <a:t> c</a:t>
          </a:r>
          <a:r>
            <a:rPr lang="pl-PL" b="0"/>
            <a:t>hirurgia,</a:t>
          </a:r>
          <a:r>
            <a:rPr lang="pl-PL" b="0" baseline="0"/>
            <a:t> czyli przychód </a:t>
          </a:r>
          <a:r>
            <a:rPr lang="pl-PL" b="0"/>
            <a:t>4405 zł,</a:t>
          </a:r>
          <a:r>
            <a:rPr lang="pl-PL" b="0" baseline="0"/>
            <a:t> k</a:t>
          </a:r>
          <a:r>
            <a:rPr lang="pl-PL" b="0"/>
            <a:t>ardiologia 2420 zł,</a:t>
          </a:r>
          <a:r>
            <a:rPr lang="pl-PL" b="0" baseline="0"/>
            <a:t> o</a:t>
          </a:r>
          <a:r>
            <a:rPr lang="pl-PL" b="0"/>
            <a:t>rtopedia 2215 zł co oznacza, że dominują zabiegi specjalistyczne i wysokokosztowe.</a:t>
          </a:r>
          <a:r>
            <a:rPr lang="pl-PL" b="0" baseline="0"/>
            <a:t> </a:t>
          </a:r>
          <a:r>
            <a:rPr lang="pl-PL" b="0"/>
            <a:t>Najczęściej wykonywane są</a:t>
          </a:r>
          <a:r>
            <a:rPr lang="pl-PL" b="0" baseline="0"/>
            <a:t> zabiegi d</a:t>
          </a:r>
          <a:r>
            <a:rPr lang="pl-PL" b="0"/>
            <a:t>ermatologii 24 przypadki,</a:t>
          </a:r>
          <a:r>
            <a:rPr lang="pl-PL" b="0" baseline="0"/>
            <a:t> o</a:t>
          </a:r>
          <a:r>
            <a:rPr lang="pl-PL" b="0"/>
            <a:t>rtopedii 22,</a:t>
          </a:r>
          <a:r>
            <a:rPr lang="pl-PL" b="0" baseline="0"/>
            <a:t> </a:t>
          </a:r>
          <a:r>
            <a:rPr lang="pl-PL" b="0"/>
            <a:t> badania ogólne 18 i  kardiologi 18.</a:t>
          </a:r>
          <a:r>
            <a:rPr lang="pl-PL" b="0" baseline="0"/>
            <a:t> </a:t>
          </a:r>
          <a:endParaRPr lang="pl-PL" b="0"/>
        </a:p>
        <a:p>
          <a:r>
            <a:rPr lang="pl-PL"/>
            <a:t>Niskokosztowe lub rzadkie procedury np. dieta, odrobaczanie</a:t>
          </a:r>
          <a:r>
            <a:rPr lang="pl-PL" baseline="0"/>
            <a:t> </a:t>
          </a:r>
          <a:r>
            <a:rPr lang="pl-PL"/>
            <a:t>mają marginalny wpływ na przychód.</a:t>
          </a:r>
        </a:p>
        <a:p>
          <a:endParaRPr lang="pl-PL" sz="1200"/>
        </a:p>
        <a:p>
          <a:endParaRPr lang="pl-PL" sz="1100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cer" refreshedDate="46183.908334375003" createdVersion="4" refreshedVersion="4" minRefreshableVersion="3" recordCount="6">
  <cacheSource type="worksheet">
    <worksheetSource name="Vets"/>
  </cacheSource>
  <cacheFields count="7">
    <cacheField name="vet_id" numFmtId="0">
      <sharedItems containsSemiMixedTypes="0" containsString="0" containsNumber="1" containsInteger="1" minValue="1" maxValue="6"/>
    </cacheField>
    <cacheField name="first_name" numFmtId="0">
      <sharedItems count="6">
        <s v="Marek"/>
        <s v="Ewa"/>
        <s v="Tomasz"/>
        <s v="Anna"/>
        <s v="Paweł"/>
        <s v="Janusz"/>
      </sharedItems>
    </cacheField>
    <cacheField name="last_name" numFmtId="0">
      <sharedItems count="6">
        <s v="Nowak"/>
        <s v="Lis"/>
        <s v="Kaczmarek"/>
        <s v="Wójcik"/>
        <s v="Mazur"/>
        <s v="Szymański"/>
      </sharedItems>
    </cacheField>
    <cacheField name="specialization" numFmtId="0">
      <sharedItems count="6">
        <s v="chirurgia"/>
        <s v="dermatologia"/>
        <s v="ortopedia"/>
        <s v="radiologia"/>
        <s v="asystent weterynarii"/>
        <s v="kardiologia"/>
      </sharedItems>
    </cacheField>
    <cacheField name="phone" numFmtId="0">
      <sharedItems count="6">
        <s v="791227333"/>
        <s v="324855166"/>
        <s v="127883919"/>
        <s v="772333444"/>
        <s v="755688717"/>
        <s v="744628788"/>
      </sharedItems>
    </cacheField>
    <cacheField name="hire_date" numFmtId="0">
      <sharedItems count="6">
        <s v="2015-03-01"/>
        <s v="2020-06-15"/>
        <s v="2018-09-10"/>
        <s v="2019-01-20"/>
        <s v="2019-11-05"/>
        <s v="2018-10-15"/>
      </sharedItems>
    </cacheField>
    <cacheField name="FullName" numFmtId="0">
      <sharedItems count="6">
        <s v="Marek Nowak"/>
        <s v="Ewa Lis"/>
        <s v="Tomasz Kaczmarek"/>
        <s v="Anna Wójcik"/>
        <s v="Paweł Mazur"/>
        <s v="Janusz Szymański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cer" refreshedDate="46183.916265972221" createdVersion="4" refreshedVersion="4" minRefreshableVersion="3" recordCount="147">
  <cacheSource type="worksheet">
    <worksheetSource ref="A1:D148" sheet="tabele pomocnicze"/>
  </cacheSource>
  <cacheFields count="4">
    <cacheField name="visit_id" numFmtId="0">
      <sharedItems containsSemiMixedTypes="0" containsString="0" containsNumber="1" containsInteger="1" minValue="1" maxValue="154"/>
    </cacheField>
    <cacheField name="vet_id" numFmtId="0">
      <sharedItems containsSemiMixedTypes="0" containsString="0" containsNumber="1" containsInteger="1" minValue="1" maxValue="6"/>
    </cacheField>
    <cacheField name="FullName" numFmtId="0">
      <sharedItems count="6">
        <s v="Paweł Mazur"/>
        <s v="Ewa Lis"/>
        <s v="Marek Nowak"/>
        <s v="Tomasz Kaczmarek"/>
        <s v="Anna Wójcik"/>
        <s v="Janusz Szymański"/>
      </sharedItems>
    </cacheField>
    <cacheField name="cost" numFmtId="0">
      <sharedItems containsSemiMixedTypes="0" containsString="0" containsNumber="1" containsInteger="1" minValue="15" maxValue="1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acer" refreshedDate="46183.944810416666" createdVersion="4" refreshedVersion="4" minRefreshableVersion="3" recordCount="147">
  <cacheSource type="worksheet">
    <worksheetSource name="Tabela11"/>
  </cacheSource>
  <cacheFields count="4">
    <cacheField name="visit_id" numFmtId="0">
      <sharedItems containsSemiMixedTypes="0" containsString="0" containsNumber="1" containsInteger="1" minValue="1" maxValue="154"/>
    </cacheField>
    <cacheField name="species" numFmtId="0">
      <sharedItems count="5">
        <s v="pies"/>
        <s v="kot"/>
        <s v="chomik"/>
        <s v="królik"/>
        <s v="papuga"/>
      </sharedItems>
    </cacheField>
    <cacheField name="cost" numFmtId="0">
      <sharedItems containsSemiMixedTypes="0" containsString="0" containsNumber="1" containsInteger="1" minValue="15" maxValue="1200"/>
    </cacheField>
    <cacheField name="animal_id" numFmtId="0">
      <sharedItems containsSemiMixedTypes="0" containsString="0" containsNumber="1" containsInteger="1" minValue="1" maxValue="78" count="76">
        <n v="1"/>
        <n v="2"/>
        <n v="3"/>
        <n v="4"/>
        <n v="5"/>
        <n v="7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6"/>
        <n v="67"/>
        <n v="68"/>
        <n v="69"/>
        <n v="70"/>
        <n v="73"/>
        <n v="74"/>
        <n v="75"/>
        <n v="76"/>
        <n v="77"/>
        <n v="78"/>
        <n v="6"/>
        <n v="8"/>
        <n v="63"/>
        <n v="64"/>
        <n v="65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acer" refreshedDate="46184.357941435184" createdVersion="4" refreshedVersion="4" minRefreshableVersion="3" recordCount="147">
  <cacheSource type="worksheet">
    <worksheetSource name="Treatments"/>
  </cacheSource>
  <cacheFields count="8">
    <cacheField name="treatment_id" numFmtId="0">
      <sharedItems containsSemiMixedTypes="0" containsString="0" containsNumber="1" containsInteger="1" minValue="1" maxValue="147"/>
    </cacheField>
    <cacheField name="visit_id" numFmtId="0">
      <sharedItems containsSemiMixedTypes="0" containsString="0" containsNumber="1" containsInteger="1" minValue="1" maxValue="154"/>
    </cacheField>
    <cacheField name="name" numFmtId="0">
      <sharedItems/>
    </cacheField>
    <cacheField name="description" numFmtId="0">
      <sharedItems/>
    </cacheField>
    <cacheField name="notes" numFmtId="0">
      <sharedItems containsBlank="1"/>
    </cacheField>
    <cacheField name="duration" numFmtId="0">
      <sharedItems containsSemiMixedTypes="0" containsString="0" containsNumber="1" containsInteger="1" minValue="15" maxValue="180"/>
    </cacheField>
    <cacheField name="cost" numFmtId="0">
      <sharedItems containsSemiMixedTypes="0" containsString="0" containsNumber="1" containsInteger="1" minValue="15" maxValue="1200"/>
    </cacheField>
    <cacheField name="treatmentCategory" numFmtId="0">
      <sharedItems count="10">
        <s v="Szczepienie"/>
        <s v="Dermatologia"/>
        <s v="Kontrola"/>
        <s v="Ortopedia"/>
        <s v="Chirurgia"/>
        <s v="Diagnostyka"/>
        <s v="Badanie ogólne"/>
        <s v="Kardiologia"/>
        <s v="Odrobaczanie"/>
        <s v="Diet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acer" refreshedDate="46184.528732523147" createdVersion="4" refreshedVersion="4" minRefreshableVersion="3" recordCount="147">
  <cacheSource type="worksheet">
    <worksheetSource name="Tabela12"/>
  </cacheSource>
  <cacheFields count="5">
    <cacheField name="visit_id" numFmtId="0">
      <sharedItems containsSemiMixedTypes="0" containsString="0" containsNumber="1" containsInteger="1" minValue="1" maxValue="154"/>
    </cacheField>
    <cacheField name="animal_id" numFmtId="0">
      <sharedItems containsSemiMixedTypes="0" containsString="0" containsNumber="1" containsInteger="1" minValue="1" maxValue="78"/>
    </cacheField>
    <cacheField name="petName" numFmtId="0">
      <sharedItems count="76">
        <s v="Rex"/>
        <s v="Mruczek"/>
        <s v="Bella"/>
        <s v="Kropka"/>
        <s v="Kruszynka"/>
        <s v="Puszek"/>
        <s v="Maks"/>
        <s v="Kulka"/>
        <s v="Pasztecik"/>
        <s v="Azor"/>
        <s v="Burek"/>
        <s v="Luna"/>
        <s v="Tygrys"/>
        <s v="Zefir"/>
        <s v="Loki"/>
        <s v="Śnieżka"/>
        <s v="Hania"/>
        <s v="Perełka"/>
        <s v="Gniewko"/>
        <s v="Zara"/>
        <s v="Czesia"/>
        <s v="Gucio"/>
        <s v="Basia"/>
        <s v="Tofik"/>
        <s v="Lila"/>
        <s v="Bruno"/>
        <s v="Złotko"/>
        <s v="Atlas"/>
        <s v="Ruda"/>
        <s v="Zizi"/>
        <s v="Balbinka"/>
        <s v="Reksio"/>
        <s v="Nero"/>
        <s v="Kleopatra"/>
        <s v="Fifi"/>
        <s v="Miszka"/>
        <s v="Max"/>
        <s v="Śmiga"/>
        <s v="Stella"/>
        <s v="Puch"/>
        <s v="Samson"/>
        <s v="Fryderyk"/>
        <s v="Miętka"/>
        <s v="Zuzia"/>
        <s v="Rambo"/>
        <s v="Kleks"/>
        <s v="Baśka"/>
        <s v="Oreo"/>
        <s v="Hektor"/>
        <s v="Bianka"/>
        <s v="Puzon"/>
        <s v="Tulipan"/>
        <s v="Braveheart"/>
        <s v="Fizia"/>
        <s v="Wiesio"/>
        <s v="Mela"/>
        <s v="Pistacjo"/>
        <s v="Diablo"/>
        <s v="Ciastko"/>
        <s v="Wróbel"/>
        <s v="Tytan"/>
        <s v="Iskra"/>
        <s v="Ptyś"/>
        <s v="Mariolka"/>
        <s v="Pępek"/>
        <s v="Leon"/>
        <s v="Koko"/>
        <s v="Tosia"/>
        <s v="Rufi"/>
        <s v="Fado"/>
        <s v="Nela"/>
        <s v="Cynamon"/>
        <s v="Mamba"/>
        <s v="Ninka"/>
        <s v="Bajka"/>
        <s v="Karmel"/>
      </sharedItems>
    </cacheField>
    <cacheField name="cost" numFmtId="0">
      <sharedItems containsSemiMixedTypes="0" containsString="0" containsNumber="1" containsInteger="1" minValue="15" maxValue="1200"/>
    </cacheField>
    <cacheField name="species" numFmtId="0">
      <sharedItems count="5">
        <s v="pies"/>
        <s v="kot"/>
        <s v="chomik"/>
        <s v="królik"/>
        <s v="papug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">
  <r>
    <n v="1"/>
    <x v="0"/>
    <x v="0"/>
    <x v="0"/>
    <x v="0"/>
    <x v="0"/>
    <x v="0"/>
  </r>
  <r>
    <n v="2"/>
    <x v="1"/>
    <x v="1"/>
    <x v="1"/>
    <x v="1"/>
    <x v="1"/>
    <x v="1"/>
  </r>
  <r>
    <n v="3"/>
    <x v="2"/>
    <x v="2"/>
    <x v="2"/>
    <x v="2"/>
    <x v="2"/>
    <x v="2"/>
  </r>
  <r>
    <n v="4"/>
    <x v="3"/>
    <x v="3"/>
    <x v="3"/>
    <x v="3"/>
    <x v="3"/>
    <x v="3"/>
  </r>
  <r>
    <n v="5"/>
    <x v="4"/>
    <x v="4"/>
    <x v="4"/>
    <x v="4"/>
    <x v="4"/>
    <x v="4"/>
  </r>
  <r>
    <n v="6"/>
    <x v="5"/>
    <x v="5"/>
    <x v="5"/>
    <x v="5"/>
    <x v="5"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47">
  <r>
    <n v="1"/>
    <n v="5"/>
    <x v="0"/>
    <n v="50"/>
  </r>
  <r>
    <n v="2"/>
    <n v="2"/>
    <x v="1"/>
    <n v="40"/>
  </r>
  <r>
    <n v="3"/>
    <n v="1"/>
    <x v="2"/>
    <n v="30"/>
  </r>
  <r>
    <n v="4"/>
    <n v="3"/>
    <x v="3"/>
    <n v="90"/>
  </r>
  <r>
    <n v="5"/>
    <n v="1"/>
    <x v="2"/>
    <n v="150"/>
  </r>
  <r>
    <n v="7"/>
    <n v="4"/>
    <x v="4"/>
    <n v="15"/>
  </r>
  <r>
    <n v="9"/>
    <n v="3"/>
    <x v="3"/>
    <n v="110"/>
  </r>
  <r>
    <n v="10"/>
    <n v="1"/>
    <x v="2"/>
    <n v="60"/>
  </r>
  <r>
    <n v="11"/>
    <n v="5"/>
    <x v="0"/>
    <n v="50"/>
  </r>
  <r>
    <n v="12"/>
    <n v="5"/>
    <x v="0"/>
    <n v="70"/>
  </r>
  <r>
    <n v="13"/>
    <n v="1"/>
    <x v="2"/>
    <n v="80"/>
  </r>
  <r>
    <n v="14"/>
    <n v="3"/>
    <x v="3"/>
    <n v="90"/>
  </r>
  <r>
    <n v="15"/>
    <n v="1"/>
    <x v="2"/>
    <n v="85"/>
  </r>
  <r>
    <n v="16"/>
    <n v="1"/>
    <x v="2"/>
    <n v="75"/>
  </r>
  <r>
    <n v="17"/>
    <n v="1"/>
    <x v="2"/>
    <n v="55"/>
  </r>
  <r>
    <n v="18"/>
    <n v="2"/>
    <x v="1"/>
    <n v="80"/>
  </r>
  <r>
    <n v="19"/>
    <n v="3"/>
    <x v="3"/>
    <n v="120"/>
  </r>
  <r>
    <n v="20"/>
    <n v="1"/>
    <x v="2"/>
    <n v="350"/>
  </r>
  <r>
    <n v="21"/>
    <n v="4"/>
    <x v="4"/>
    <n v="60"/>
  </r>
  <r>
    <n v="22"/>
    <n v="5"/>
    <x v="0"/>
    <n v="50"/>
  </r>
  <r>
    <n v="23"/>
    <n v="2"/>
    <x v="1"/>
    <n v="90"/>
  </r>
  <r>
    <n v="24"/>
    <n v="3"/>
    <x v="3"/>
    <n v="150"/>
  </r>
  <r>
    <n v="25"/>
    <n v="6"/>
    <x v="5"/>
    <n v="110"/>
  </r>
  <r>
    <n v="26"/>
    <n v="1"/>
    <x v="2"/>
    <n v="400"/>
  </r>
  <r>
    <n v="27"/>
    <n v="4"/>
    <x v="4"/>
    <n v="180"/>
  </r>
  <r>
    <n v="28"/>
    <n v="2"/>
    <x v="1"/>
    <n v="40"/>
  </r>
  <r>
    <n v="29"/>
    <n v="5"/>
    <x v="0"/>
    <n v="35"/>
  </r>
  <r>
    <n v="30"/>
    <n v="3"/>
    <x v="3"/>
    <n v="60"/>
  </r>
  <r>
    <n v="31"/>
    <n v="6"/>
    <x v="5"/>
    <n v="130"/>
  </r>
  <r>
    <n v="32"/>
    <n v="2"/>
    <x v="1"/>
    <n v="100"/>
  </r>
  <r>
    <n v="33"/>
    <n v="1"/>
    <x v="2"/>
    <n v="350"/>
  </r>
  <r>
    <n v="34"/>
    <n v="4"/>
    <x v="4"/>
    <n v="40"/>
  </r>
  <r>
    <n v="35"/>
    <n v="3"/>
    <x v="3"/>
    <n v="70"/>
  </r>
  <r>
    <n v="36"/>
    <n v="5"/>
    <x v="0"/>
    <n v="55"/>
  </r>
  <r>
    <n v="37"/>
    <n v="6"/>
    <x v="5"/>
    <n v="220"/>
  </r>
  <r>
    <n v="38"/>
    <n v="2"/>
    <x v="1"/>
    <n v="70"/>
  </r>
  <r>
    <n v="39"/>
    <n v="1"/>
    <x v="2"/>
    <n v="60"/>
  </r>
  <r>
    <n v="40"/>
    <n v="3"/>
    <x v="3"/>
    <n v="90"/>
  </r>
  <r>
    <n v="41"/>
    <n v="4"/>
    <x v="4"/>
    <n v="85"/>
  </r>
  <r>
    <n v="42"/>
    <n v="5"/>
    <x v="0"/>
    <n v="35"/>
  </r>
  <r>
    <n v="43"/>
    <n v="6"/>
    <x v="5"/>
    <n v="250"/>
  </r>
  <r>
    <n v="44"/>
    <n v="2"/>
    <x v="1"/>
    <n v="80"/>
  </r>
  <r>
    <n v="45"/>
    <n v="1"/>
    <x v="2"/>
    <n v="900"/>
  </r>
  <r>
    <n v="46"/>
    <n v="3"/>
    <x v="3"/>
    <n v="160"/>
  </r>
  <r>
    <n v="47"/>
    <n v="4"/>
    <x v="4"/>
    <n v="70"/>
  </r>
  <r>
    <n v="48"/>
    <n v="5"/>
    <x v="0"/>
    <n v="65"/>
  </r>
  <r>
    <n v="49"/>
    <n v="6"/>
    <x v="5"/>
    <n v="200"/>
  </r>
  <r>
    <n v="50"/>
    <n v="2"/>
    <x v="1"/>
    <n v="150"/>
  </r>
  <r>
    <n v="51"/>
    <n v="1"/>
    <x v="2"/>
    <n v="300"/>
  </r>
  <r>
    <n v="52"/>
    <n v="3"/>
    <x v="3"/>
    <n v="90"/>
  </r>
  <r>
    <n v="53"/>
    <n v="4"/>
    <x v="4"/>
    <n v="110"/>
  </r>
  <r>
    <n v="54"/>
    <n v="6"/>
    <x v="5"/>
    <n v="70"/>
  </r>
  <r>
    <n v="55"/>
    <n v="1"/>
    <x v="2"/>
    <n v="100"/>
  </r>
  <r>
    <n v="56"/>
    <n v="2"/>
    <x v="1"/>
    <n v="80"/>
  </r>
  <r>
    <n v="57"/>
    <n v="3"/>
    <x v="3"/>
    <n v="60"/>
  </r>
  <r>
    <n v="58"/>
    <n v="6"/>
    <x v="5"/>
    <n v="130"/>
  </r>
  <r>
    <n v="59"/>
    <n v="4"/>
    <x v="4"/>
    <n v="35"/>
  </r>
  <r>
    <n v="60"/>
    <n v="5"/>
    <x v="0"/>
    <n v="200"/>
  </r>
  <r>
    <n v="61"/>
    <n v="1"/>
    <x v="2"/>
    <n v="85"/>
  </r>
  <r>
    <n v="62"/>
    <n v="2"/>
    <x v="1"/>
    <n v="300"/>
  </r>
  <r>
    <n v="63"/>
    <n v="3"/>
    <x v="3"/>
    <n v="110"/>
  </r>
  <r>
    <n v="64"/>
    <n v="6"/>
    <x v="5"/>
    <n v="90"/>
  </r>
  <r>
    <n v="65"/>
    <n v="4"/>
    <x v="4"/>
    <n v="40"/>
  </r>
  <r>
    <n v="69"/>
    <n v="1"/>
    <x v="2"/>
    <n v="120"/>
  </r>
  <r>
    <n v="70"/>
    <n v="2"/>
    <x v="1"/>
    <n v="180"/>
  </r>
  <r>
    <n v="71"/>
    <n v="3"/>
    <x v="3"/>
    <n v="1200"/>
  </r>
  <r>
    <n v="72"/>
    <n v="5"/>
    <x v="0"/>
    <n v="65"/>
  </r>
  <r>
    <n v="73"/>
    <n v="6"/>
    <x v="5"/>
    <n v="60"/>
  </r>
  <r>
    <n v="76"/>
    <n v="4"/>
    <x v="4"/>
    <n v="40"/>
  </r>
  <r>
    <n v="77"/>
    <n v="1"/>
    <x v="2"/>
    <n v="50"/>
  </r>
  <r>
    <n v="78"/>
    <n v="2"/>
    <x v="1"/>
    <n v="100"/>
  </r>
  <r>
    <n v="79"/>
    <n v="5"/>
    <x v="0"/>
    <n v="40"/>
  </r>
  <r>
    <n v="80"/>
    <n v="3"/>
    <x v="3"/>
    <n v="110"/>
  </r>
  <r>
    <n v="81"/>
    <n v="6"/>
    <x v="5"/>
    <n v="60"/>
  </r>
  <r>
    <n v="82"/>
    <n v="1"/>
    <x v="2"/>
    <n v="80"/>
  </r>
  <r>
    <n v="83"/>
    <n v="2"/>
    <x v="1"/>
    <n v="100"/>
  </r>
  <r>
    <n v="84"/>
    <n v="6"/>
    <x v="5"/>
    <n v="110"/>
  </r>
  <r>
    <n v="85"/>
    <n v="1"/>
    <x v="2"/>
    <n v="40"/>
  </r>
  <r>
    <n v="86"/>
    <n v="6"/>
    <x v="5"/>
    <n v="70"/>
  </r>
  <r>
    <n v="87"/>
    <n v="5"/>
    <x v="0"/>
    <n v="90"/>
  </r>
  <r>
    <n v="88"/>
    <n v="1"/>
    <x v="2"/>
    <n v="40"/>
  </r>
  <r>
    <n v="89"/>
    <n v="3"/>
    <x v="3"/>
    <n v="110"/>
  </r>
  <r>
    <n v="90"/>
    <n v="6"/>
    <x v="5"/>
    <n v="80"/>
  </r>
  <r>
    <n v="91"/>
    <n v="1"/>
    <x v="2"/>
    <n v="60"/>
  </r>
  <r>
    <n v="92"/>
    <n v="4"/>
    <x v="4"/>
    <n v="70"/>
  </r>
  <r>
    <n v="93"/>
    <n v="3"/>
    <x v="3"/>
    <n v="100"/>
  </r>
  <r>
    <n v="94"/>
    <n v="1"/>
    <x v="2"/>
    <n v="80"/>
  </r>
  <r>
    <n v="95"/>
    <n v="3"/>
    <x v="3"/>
    <n v="50"/>
  </r>
  <r>
    <n v="96"/>
    <n v="4"/>
    <x v="4"/>
    <n v="50"/>
  </r>
  <r>
    <n v="97"/>
    <n v="1"/>
    <x v="2"/>
    <n v="100"/>
  </r>
  <r>
    <n v="98"/>
    <n v="3"/>
    <x v="3"/>
    <n v="50"/>
  </r>
  <r>
    <n v="99"/>
    <n v="6"/>
    <x v="5"/>
    <n v="50"/>
  </r>
  <r>
    <n v="100"/>
    <n v="1"/>
    <x v="2"/>
    <n v="60"/>
  </r>
  <r>
    <n v="101"/>
    <n v="3"/>
    <x v="3"/>
    <n v="70"/>
  </r>
  <r>
    <n v="102"/>
    <n v="2"/>
    <x v="1"/>
    <n v="70"/>
  </r>
  <r>
    <n v="103"/>
    <n v="6"/>
    <x v="5"/>
    <n v="50"/>
  </r>
  <r>
    <n v="104"/>
    <n v="2"/>
    <x v="1"/>
    <n v="60"/>
  </r>
  <r>
    <n v="105"/>
    <n v="2"/>
    <x v="1"/>
    <n v="45"/>
  </r>
  <r>
    <n v="106"/>
    <n v="3"/>
    <x v="3"/>
    <n v="100"/>
  </r>
  <r>
    <n v="107"/>
    <n v="3"/>
    <x v="3"/>
    <n v="50"/>
  </r>
  <r>
    <n v="108"/>
    <n v="3"/>
    <x v="3"/>
    <n v="60"/>
  </r>
  <r>
    <n v="109"/>
    <n v="2"/>
    <x v="1"/>
    <n v="30"/>
  </r>
  <r>
    <n v="110"/>
    <n v="5"/>
    <x v="0"/>
    <n v="50"/>
  </r>
  <r>
    <n v="111"/>
    <n v="5"/>
    <x v="0"/>
    <n v="100"/>
  </r>
  <r>
    <n v="112"/>
    <n v="2"/>
    <x v="1"/>
    <n v="65"/>
  </r>
  <r>
    <n v="113"/>
    <n v="2"/>
    <x v="1"/>
    <n v="75"/>
  </r>
  <r>
    <n v="114"/>
    <n v="5"/>
    <x v="0"/>
    <n v="65"/>
  </r>
  <r>
    <n v="115"/>
    <n v="5"/>
    <x v="0"/>
    <n v="80"/>
  </r>
  <r>
    <n v="116"/>
    <n v="2"/>
    <x v="1"/>
    <n v="80"/>
  </r>
  <r>
    <n v="117"/>
    <n v="6"/>
    <x v="5"/>
    <n v="60"/>
  </r>
  <r>
    <n v="118"/>
    <n v="5"/>
    <x v="0"/>
    <n v="95"/>
  </r>
  <r>
    <n v="119"/>
    <n v="2"/>
    <x v="1"/>
    <n v="60"/>
  </r>
  <r>
    <n v="120"/>
    <n v="1"/>
    <x v="2"/>
    <n v="60"/>
  </r>
  <r>
    <n v="121"/>
    <n v="3"/>
    <x v="3"/>
    <n v="60"/>
  </r>
  <r>
    <n v="122"/>
    <n v="2"/>
    <x v="1"/>
    <n v="40"/>
  </r>
  <r>
    <n v="123"/>
    <n v="4"/>
    <x v="4"/>
    <n v="60"/>
  </r>
  <r>
    <n v="124"/>
    <n v="4"/>
    <x v="4"/>
    <n v="55"/>
  </r>
  <r>
    <n v="125"/>
    <n v="3"/>
    <x v="3"/>
    <n v="40"/>
  </r>
  <r>
    <n v="126"/>
    <n v="5"/>
    <x v="0"/>
    <n v="160"/>
  </r>
  <r>
    <n v="127"/>
    <n v="1"/>
    <x v="2"/>
    <n v="35"/>
  </r>
  <r>
    <n v="128"/>
    <n v="1"/>
    <x v="2"/>
    <n v="65"/>
  </r>
  <r>
    <n v="129"/>
    <n v="4"/>
    <x v="4"/>
    <n v="40"/>
  </r>
  <r>
    <n v="130"/>
    <n v="5"/>
    <x v="0"/>
    <n v="55"/>
  </r>
  <r>
    <n v="131"/>
    <n v="1"/>
    <x v="2"/>
    <n v="85"/>
  </r>
  <r>
    <n v="132"/>
    <n v="4"/>
    <x v="4"/>
    <n v="35"/>
  </r>
  <r>
    <n v="133"/>
    <n v="5"/>
    <x v="0"/>
    <n v="230"/>
  </r>
  <r>
    <n v="134"/>
    <n v="5"/>
    <x v="0"/>
    <n v="100"/>
  </r>
  <r>
    <n v="135"/>
    <n v="1"/>
    <x v="2"/>
    <n v="90"/>
  </r>
  <r>
    <n v="136"/>
    <n v="5"/>
    <x v="0"/>
    <n v="90"/>
  </r>
  <r>
    <n v="137"/>
    <n v="4"/>
    <x v="4"/>
    <n v="120"/>
  </r>
  <r>
    <n v="138"/>
    <n v="5"/>
    <x v="0"/>
    <n v="85"/>
  </r>
  <r>
    <n v="139"/>
    <n v="6"/>
    <x v="5"/>
    <n v="75"/>
  </r>
  <r>
    <n v="140"/>
    <n v="6"/>
    <x v="5"/>
    <n v="55"/>
  </r>
  <r>
    <n v="141"/>
    <n v="3"/>
    <x v="3"/>
    <n v="60"/>
  </r>
  <r>
    <n v="142"/>
    <n v="1"/>
    <x v="2"/>
    <n v="50"/>
  </r>
  <r>
    <n v="143"/>
    <n v="4"/>
    <x v="4"/>
    <n v="55"/>
  </r>
  <r>
    <n v="144"/>
    <n v="4"/>
    <x v="4"/>
    <n v="160"/>
  </r>
  <r>
    <n v="145"/>
    <n v="2"/>
    <x v="1"/>
    <n v="70"/>
  </r>
  <r>
    <n v="146"/>
    <n v="5"/>
    <x v="0"/>
    <n v="50"/>
  </r>
  <r>
    <n v="147"/>
    <n v="5"/>
    <x v="0"/>
    <n v="60"/>
  </r>
  <r>
    <n v="148"/>
    <n v="2"/>
    <x v="1"/>
    <n v="100"/>
  </r>
  <r>
    <n v="149"/>
    <n v="5"/>
    <x v="0"/>
    <n v="55"/>
  </r>
  <r>
    <n v="150"/>
    <n v="4"/>
    <x v="4"/>
    <n v="90"/>
  </r>
  <r>
    <n v="151"/>
    <n v="1"/>
    <x v="2"/>
    <n v="80"/>
  </r>
  <r>
    <n v="152"/>
    <n v="2"/>
    <x v="1"/>
    <n v="65"/>
  </r>
  <r>
    <n v="153"/>
    <n v="5"/>
    <x v="0"/>
    <n v="50"/>
  </r>
  <r>
    <n v="154"/>
    <n v="6"/>
    <x v="5"/>
    <n v="12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47">
  <r>
    <n v="1"/>
    <x v="0"/>
    <n v="50"/>
    <x v="0"/>
  </r>
  <r>
    <n v="2"/>
    <x v="1"/>
    <n v="40"/>
    <x v="1"/>
  </r>
  <r>
    <n v="3"/>
    <x v="0"/>
    <n v="30"/>
    <x v="2"/>
  </r>
  <r>
    <n v="4"/>
    <x v="1"/>
    <n v="90"/>
    <x v="3"/>
  </r>
  <r>
    <n v="5"/>
    <x v="2"/>
    <n v="150"/>
    <x v="4"/>
  </r>
  <r>
    <n v="7"/>
    <x v="1"/>
    <n v="15"/>
    <x v="5"/>
  </r>
  <r>
    <n v="9"/>
    <x v="0"/>
    <n v="110"/>
    <x v="6"/>
  </r>
  <r>
    <n v="10"/>
    <x v="2"/>
    <n v="60"/>
    <x v="7"/>
  </r>
  <r>
    <n v="11"/>
    <x v="2"/>
    <n v="50"/>
    <x v="8"/>
  </r>
  <r>
    <n v="12"/>
    <x v="0"/>
    <n v="70"/>
    <x v="9"/>
  </r>
  <r>
    <n v="13"/>
    <x v="0"/>
    <n v="80"/>
    <x v="10"/>
  </r>
  <r>
    <n v="14"/>
    <x v="1"/>
    <n v="90"/>
    <x v="3"/>
  </r>
  <r>
    <n v="15"/>
    <x v="0"/>
    <n v="85"/>
    <x v="6"/>
  </r>
  <r>
    <n v="16"/>
    <x v="2"/>
    <n v="75"/>
    <x v="4"/>
  </r>
  <r>
    <n v="17"/>
    <x v="1"/>
    <n v="55"/>
    <x v="11"/>
  </r>
  <r>
    <n v="18"/>
    <x v="1"/>
    <n v="80"/>
    <x v="12"/>
  </r>
  <r>
    <n v="19"/>
    <x v="0"/>
    <n v="120"/>
    <x v="13"/>
  </r>
  <r>
    <n v="20"/>
    <x v="1"/>
    <n v="350"/>
    <x v="14"/>
  </r>
  <r>
    <n v="21"/>
    <x v="3"/>
    <n v="60"/>
    <x v="15"/>
  </r>
  <r>
    <n v="22"/>
    <x v="0"/>
    <n v="50"/>
    <x v="16"/>
  </r>
  <r>
    <n v="23"/>
    <x v="1"/>
    <n v="90"/>
    <x v="17"/>
  </r>
  <r>
    <n v="24"/>
    <x v="0"/>
    <n v="150"/>
    <x v="18"/>
  </r>
  <r>
    <n v="25"/>
    <x v="0"/>
    <n v="110"/>
    <x v="19"/>
  </r>
  <r>
    <n v="26"/>
    <x v="1"/>
    <n v="400"/>
    <x v="20"/>
  </r>
  <r>
    <n v="27"/>
    <x v="0"/>
    <n v="180"/>
    <x v="21"/>
  </r>
  <r>
    <n v="28"/>
    <x v="0"/>
    <n v="40"/>
    <x v="22"/>
  </r>
  <r>
    <n v="29"/>
    <x v="0"/>
    <n v="35"/>
    <x v="23"/>
  </r>
  <r>
    <n v="30"/>
    <x v="1"/>
    <n v="60"/>
    <x v="24"/>
  </r>
  <r>
    <n v="31"/>
    <x v="0"/>
    <n v="130"/>
    <x v="25"/>
  </r>
  <r>
    <n v="32"/>
    <x v="2"/>
    <n v="100"/>
    <x v="26"/>
  </r>
  <r>
    <n v="33"/>
    <x v="0"/>
    <n v="350"/>
    <x v="27"/>
  </r>
  <r>
    <n v="34"/>
    <x v="1"/>
    <n v="40"/>
    <x v="28"/>
  </r>
  <r>
    <n v="35"/>
    <x v="4"/>
    <n v="70"/>
    <x v="29"/>
  </r>
  <r>
    <n v="36"/>
    <x v="1"/>
    <n v="55"/>
    <x v="30"/>
  </r>
  <r>
    <n v="37"/>
    <x v="0"/>
    <n v="220"/>
    <x v="31"/>
  </r>
  <r>
    <n v="38"/>
    <x v="0"/>
    <n v="70"/>
    <x v="32"/>
  </r>
  <r>
    <n v="39"/>
    <x v="1"/>
    <n v="60"/>
    <x v="33"/>
  </r>
  <r>
    <n v="40"/>
    <x v="0"/>
    <n v="90"/>
    <x v="34"/>
  </r>
  <r>
    <n v="41"/>
    <x v="2"/>
    <n v="85"/>
    <x v="35"/>
  </r>
  <r>
    <n v="42"/>
    <x v="0"/>
    <n v="35"/>
    <x v="36"/>
  </r>
  <r>
    <n v="43"/>
    <x v="1"/>
    <n v="250"/>
    <x v="37"/>
  </r>
  <r>
    <n v="44"/>
    <x v="0"/>
    <n v="80"/>
    <x v="38"/>
  </r>
  <r>
    <n v="45"/>
    <x v="3"/>
    <n v="900"/>
    <x v="39"/>
  </r>
  <r>
    <n v="46"/>
    <x v="0"/>
    <n v="160"/>
    <x v="40"/>
  </r>
  <r>
    <n v="47"/>
    <x v="1"/>
    <n v="70"/>
    <x v="41"/>
  </r>
  <r>
    <n v="48"/>
    <x v="1"/>
    <n v="65"/>
    <x v="42"/>
  </r>
  <r>
    <n v="49"/>
    <x v="0"/>
    <n v="200"/>
    <x v="43"/>
  </r>
  <r>
    <n v="50"/>
    <x v="0"/>
    <n v="150"/>
    <x v="44"/>
  </r>
  <r>
    <n v="51"/>
    <x v="1"/>
    <n v="300"/>
    <x v="45"/>
  </r>
  <r>
    <n v="52"/>
    <x v="0"/>
    <n v="90"/>
    <x v="46"/>
  </r>
  <r>
    <n v="53"/>
    <x v="1"/>
    <n v="110"/>
    <x v="47"/>
  </r>
  <r>
    <n v="54"/>
    <x v="0"/>
    <n v="70"/>
    <x v="48"/>
  </r>
  <r>
    <n v="55"/>
    <x v="1"/>
    <n v="100"/>
    <x v="49"/>
  </r>
  <r>
    <n v="56"/>
    <x v="0"/>
    <n v="80"/>
    <x v="50"/>
  </r>
  <r>
    <n v="57"/>
    <x v="1"/>
    <n v="60"/>
    <x v="51"/>
  </r>
  <r>
    <n v="58"/>
    <x v="0"/>
    <n v="130"/>
    <x v="52"/>
  </r>
  <r>
    <n v="59"/>
    <x v="1"/>
    <n v="35"/>
    <x v="53"/>
  </r>
  <r>
    <n v="60"/>
    <x v="4"/>
    <n v="200"/>
    <x v="54"/>
  </r>
  <r>
    <n v="61"/>
    <x v="0"/>
    <n v="85"/>
    <x v="55"/>
  </r>
  <r>
    <n v="62"/>
    <x v="2"/>
    <n v="300"/>
    <x v="56"/>
  </r>
  <r>
    <n v="63"/>
    <x v="0"/>
    <n v="110"/>
    <x v="57"/>
  </r>
  <r>
    <n v="64"/>
    <x v="1"/>
    <n v="90"/>
    <x v="58"/>
  </r>
  <r>
    <n v="65"/>
    <x v="0"/>
    <n v="40"/>
    <x v="59"/>
  </r>
  <r>
    <n v="69"/>
    <x v="0"/>
    <n v="120"/>
    <x v="60"/>
  </r>
  <r>
    <n v="70"/>
    <x v="1"/>
    <n v="180"/>
    <x v="61"/>
  </r>
  <r>
    <n v="71"/>
    <x v="0"/>
    <n v="1200"/>
    <x v="62"/>
  </r>
  <r>
    <n v="72"/>
    <x v="1"/>
    <n v="65"/>
    <x v="63"/>
  </r>
  <r>
    <n v="73"/>
    <x v="3"/>
    <n v="60"/>
    <x v="64"/>
  </r>
  <r>
    <n v="76"/>
    <x v="0"/>
    <n v="40"/>
    <x v="65"/>
  </r>
  <r>
    <n v="77"/>
    <x v="4"/>
    <n v="50"/>
    <x v="66"/>
  </r>
  <r>
    <n v="78"/>
    <x v="1"/>
    <n v="100"/>
    <x v="67"/>
  </r>
  <r>
    <n v="79"/>
    <x v="0"/>
    <n v="40"/>
    <x v="68"/>
  </r>
  <r>
    <n v="80"/>
    <x v="0"/>
    <n v="110"/>
    <x v="69"/>
  </r>
  <r>
    <n v="81"/>
    <x v="0"/>
    <n v="60"/>
    <x v="70"/>
  </r>
  <r>
    <n v="82"/>
    <x v="1"/>
    <n v="80"/>
    <x v="11"/>
  </r>
  <r>
    <n v="83"/>
    <x v="1"/>
    <n v="100"/>
    <x v="17"/>
  </r>
  <r>
    <n v="84"/>
    <x v="0"/>
    <n v="110"/>
    <x v="19"/>
  </r>
  <r>
    <n v="85"/>
    <x v="0"/>
    <n v="40"/>
    <x v="27"/>
  </r>
  <r>
    <n v="86"/>
    <x v="0"/>
    <n v="70"/>
    <x v="31"/>
  </r>
  <r>
    <n v="87"/>
    <x v="1"/>
    <n v="90"/>
    <x v="33"/>
  </r>
  <r>
    <n v="88"/>
    <x v="3"/>
    <n v="40"/>
    <x v="39"/>
  </r>
  <r>
    <n v="89"/>
    <x v="0"/>
    <n v="110"/>
    <x v="40"/>
  </r>
  <r>
    <n v="90"/>
    <x v="0"/>
    <n v="80"/>
    <x v="43"/>
  </r>
  <r>
    <n v="91"/>
    <x v="1"/>
    <n v="60"/>
    <x v="45"/>
  </r>
  <r>
    <n v="92"/>
    <x v="1"/>
    <n v="70"/>
    <x v="47"/>
  </r>
  <r>
    <n v="93"/>
    <x v="1"/>
    <n v="100"/>
    <x v="51"/>
  </r>
  <r>
    <n v="94"/>
    <x v="0"/>
    <n v="80"/>
    <x v="55"/>
  </r>
  <r>
    <n v="95"/>
    <x v="0"/>
    <n v="50"/>
    <x v="57"/>
  </r>
  <r>
    <n v="96"/>
    <x v="0"/>
    <n v="50"/>
    <x v="59"/>
  </r>
  <r>
    <n v="97"/>
    <x v="0"/>
    <n v="100"/>
    <x v="60"/>
  </r>
  <r>
    <n v="98"/>
    <x v="0"/>
    <n v="50"/>
    <x v="62"/>
  </r>
  <r>
    <n v="99"/>
    <x v="3"/>
    <n v="50"/>
    <x v="64"/>
  </r>
  <r>
    <n v="100"/>
    <x v="4"/>
    <n v="60"/>
    <x v="66"/>
  </r>
  <r>
    <n v="101"/>
    <x v="0"/>
    <n v="70"/>
    <x v="69"/>
  </r>
  <r>
    <n v="102"/>
    <x v="1"/>
    <n v="70"/>
    <x v="12"/>
  </r>
  <r>
    <n v="103"/>
    <x v="0"/>
    <n v="50"/>
    <x v="25"/>
  </r>
  <r>
    <n v="104"/>
    <x v="2"/>
    <n v="60"/>
    <x v="26"/>
  </r>
  <r>
    <n v="105"/>
    <x v="0"/>
    <n v="45"/>
    <x v="32"/>
  </r>
  <r>
    <n v="106"/>
    <x v="0"/>
    <n v="100"/>
    <x v="13"/>
  </r>
  <r>
    <n v="107"/>
    <x v="0"/>
    <n v="50"/>
    <x v="18"/>
  </r>
  <r>
    <n v="108"/>
    <x v="0"/>
    <n v="60"/>
    <x v="34"/>
  </r>
  <r>
    <n v="109"/>
    <x v="0"/>
    <n v="30"/>
    <x v="38"/>
  </r>
  <r>
    <n v="110"/>
    <x v="1"/>
    <n v="50"/>
    <x v="41"/>
  </r>
  <r>
    <n v="111"/>
    <x v="1"/>
    <n v="100"/>
    <x v="42"/>
  </r>
  <r>
    <n v="112"/>
    <x v="0"/>
    <n v="65"/>
    <x v="44"/>
  </r>
  <r>
    <n v="113"/>
    <x v="0"/>
    <n v="75"/>
    <x v="50"/>
  </r>
  <r>
    <n v="114"/>
    <x v="0"/>
    <n v="65"/>
    <x v="52"/>
  </r>
  <r>
    <n v="115"/>
    <x v="4"/>
    <n v="80"/>
    <x v="54"/>
  </r>
  <r>
    <n v="116"/>
    <x v="2"/>
    <n v="80"/>
    <x v="56"/>
  </r>
  <r>
    <n v="117"/>
    <x v="1"/>
    <n v="60"/>
    <x v="58"/>
  </r>
  <r>
    <n v="118"/>
    <x v="0"/>
    <n v="95"/>
    <x v="0"/>
  </r>
  <r>
    <n v="119"/>
    <x v="1"/>
    <n v="60"/>
    <x v="1"/>
  </r>
  <r>
    <n v="120"/>
    <x v="0"/>
    <n v="60"/>
    <x v="2"/>
  </r>
  <r>
    <n v="121"/>
    <x v="1"/>
    <n v="60"/>
    <x v="3"/>
  </r>
  <r>
    <n v="122"/>
    <x v="1"/>
    <n v="40"/>
    <x v="71"/>
  </r>
  <r>
    <n v="123"/>
    <x v="1"/>
    <n v="60"/>
    <x v="5"/>
  </r>
  <r>
    <n v="124"/>
    <x v="1"/>
    <n v="55"/>
    <x v="72"/>
  </r>
  <r>
    <n v="125"/>
    <x v="0"/>
    <n v="40"/>
    <x v="6"/>
  </r>
  <r>
    <n v="126"/>
    <x v="2"/>
    <n v="160"/>
    <x v="8"/>
  </r>
  <r>
    <n v="127"/>
    <x v="0"/>
    <n v="35"/>
    <x v="9"/>
  </r>
  <r>
    <n v="128"/>
    <x v="1"/>
    <n v="65"/>
    <x v="14"/>
  </r>
  <r>
    <n v="129"/>
    <x v="3"/>
    <n v="40"/>
    <x v="15"/>
  </r>
  <r>
    <n v="130"/>
    <x v="0"/>
    <n v="55"/>
    <x v="16"/>
  </r>
  <r>
    <n v="131"/>
    <x v="1"/>
    <n v="85"/>
    <x v="20"/>
  </r>
  <r>
    <n v="132"/>
    <x v="0"/>
    <n v="35"/>
    <x v="21"/>
  </r>
  <r>
    <n v="133"/>
    <x v="0"/>
    <n v="230"/>
    <x v="23"/>
  </r>
  <r>
    <n v="134"/>
    <x v="1"/>
    <n v="100"/>
    <x v="28"/>
  </r>
  <r>
    <n v="135"/>
    <x v="4"/>
    <n v="90"/>
    <x v="29"/>
  </r>
  <r>
    <n v="136"/>
    <x v="1"/>
    <n v="90"/>
    <x v="30"/>
  </r>
  <r>
    <n v="137"/>
    <x v="2"/>
    <n v="120"/>
    <x v="35"/>
  </r>
  <r>
    <n v="138"/>
    <x v="0"/>
    <n v="85"/>
    <x v="36"/>
  </r>
  <r>
    <n v="139"/>
    <x v="1"/>
    <n v="75"/>
    <x v="37"/>
  </r>
  <r>
    <n v="140"/>
    <x v="0"/>
    <n v="55"/>
    <x v="43"/>
  </r>
  <r>
    <n v="141"/>
    <x v="0"/>
    <n v="60"/>
    <x v="46"/>
  </r>
  <r>
    <n v="142"/>
    <x v="1"/>
    <n v="50"/>
    <x v="49"/>
  </r>
  <r>
    <n v="143"/>
    <x v="1"/>
    <n v="55"/>
    <x v="53"/>
  </r>
  <r>
    <n v="144"/>
    <x v="0"/>
    <n v="160"/>
    <x v="59"/>
  </r>
  <r>
    <n v="145"/>
    <x v="1"/>
    <n v="70"/>
    <x v="73"/>
  </r>
  <r>
    <n v="146"/>
    <x v="0"/>
    <n v="50"/>
    <x v="74"/>
  </r>
  <r>
    <n v="147"/>
    <x v="1"/>
    <n v="60"/>
    <x v="75"/>
  </r>
  <r>
    <n v="148"/>
    <x v="1"/>
    <n v="100"/>
    <x v="61"/>
  </r>
  <r>
    <n v="149"/>
    <x v="1"/>
    <n v="55"/>
    <x v="63"/>
  </r>
  <r>
    <n v="150"/>
    <x v="0"/>
    <n v="90"/>
    <x v="65"/>
  </r>
  <r>
    <n v="151"/>
    <x v="4"/>
    <n v="80"/>
    <x v="66"/>
  </r>
  <r>
    <n v="152"/>
    <x v="1"/>
    <n v="65"/>
    <x v="67"/>
  </r>
  <r>
    <n v="153"/>
    <x v="0"/>
    <n v="50"/>
    <x v="68"/>
  </r>
  <r>
    <n v="154"/>
    <x v="0"/>
    <n v="120"/>
    <x v="7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47">
  <r>
    <n v="1"/>
    <n v="1"/>
    <s v="szczepienie"/>
    <s v="podanie szczepionki przeciw wściekliźnie"/>
    <s v="Zwierzę było spokojne. Podano szczepionkę. Brak reakcji niepożądanych. Zalecana kontrola za rok."/>
    <n v="40"/>
    <n v="50"/>
    <x v="0"/>
  </r>
  <r>
    <n v="2"/>
    <n v="2"/>
    <s v="alergia"/>
    <s v="podanie leków na alergię"/>
    <s v="Wysypka zniknęła częściowo. Zalecana kontrola po tygodniu. Podano lek przeciwhistaminowy."/>
    <n v="30"/>
    <n v="40"/>
    <x v="1"/>
  </r>
  <r>
    <n v="3"/>
    <n v="3"/>
    <s v="kontrola"/>
    <s v="kontrola stanu zdrowia"/>
    <s v="Zwierzę w dobrej kondycji. Brak uwag."/>
    <n v="60"/>
    <n v="30"/>
    <x v="2"/>
  </r>
  <r>
    <n v="4"/>
    <n v="4"/>
    <s v="uraz łapy"/>
    <s v="wykonanie zdjęcia RTG łapy"/>
    <s v="Rana oczyszczona i zabandażowana. Pacjent był niespokojny, zalecano ograniczenie ruchu przez 3 dni."/>
    <n v="90"/>
    <n v="90"/>
    <x v="3"/>
  </r>
  <r>
    <n v="5"/>
    <n v="5"/>
    <s v="operacja"/>
    <s v="Przeprowadzono operacje guza u chomika. Pacjent był pod narkozą. Operacja przebiegła pomyślnie. Zalecono odpoczynek i leki przeciwbólowe."/>
    <m/>
    <n v="120"/>
    <n v="150"/>
    <x v="4"/>
  </r>
  <r>
    <n v="6"/>
    <n v="7"/>
    <s v="diagnostyka"/>
    <s v="Standardowe badanie ogólne."/>
    <s v=" Informacja o profilaktyce."/>
    <n v="60"/>
    <n v="15"/>
    <x v="5"/>
  </r>
  <r>
    <n v="7"/>
    <n v="9"/>
    <s v="uraz łapy"/>
    <s v="Oczyszczenie i zdezynfekowanie rany. Założenie opatrunku i stabilizacja kończyny."/>
    <s v="Uraz spowodowany niefortunnym skokiem. Rana oczyszczona i zabandażowana. Pacjent był niespokojny, zalecano ograniczenie ruchu przez 3 dni. Kontrola za tydzień."/>
    <n v="100"/>
    <n v="110"/>
    <x v="3"/>
  </r>
  <r>
    <n v="8"/>
    <n v="10"/>
    <s v="badanie ogólne"/>
    <s v="Standardowe badanie kontrolne zwierzęcia."/>
    <s v="Pacjent zdrowy. Zalecono kontrolę profilaktyczną za 6 miesięcy."/>
    <n v="30"/>
    <n v="60"/>
    <x v="6"/>
  </r>
  <r>
    <n v="9"/>
    <n v="11"/>
    <s v="badanie ogólne"/>
    <s v="Ocena kondycji oraz parametrów życiowych."/>
    <s v="Brak nieprawidłowości."/>
    <n v="25"/>
    <n v="50"/>
    <x v="6"/>
  </r>
  <r>
    <n v="10"/>
    <n v="12"/>
    <s v="szczepienie"/>
    <s v="Podanie szczepionki przeciw wściekliźnie."/>
    <s v="Brak reakcji poszczepiennej."/>
    <n v="20"/>
    <n v="70"/>
    <x v="0"/>
  </r>
  <r>
    <n v="11"/>
    <n v="13"/>
    <s v="kontrola rany"/>
    <s v="Kontrola procesu gojenia oraz wymiana opatrunku."/>
    <s v="Rana goi się prawidłowo. Zmieniono opatrunek."/>
    <n v="35"/>
    <n v="80"/>
    <x v="2"/>
  </r>
  <r>
    <n v="12"/>
    <n v="14"/>
    <s v="kontrola ortopedyczna"/>
    <s v="Kontrola urazu łapy po wcześniejszym leczeniu."/>
    <s v="Kulawienie minimalne. Kontynuować ograniczenie ruchu."/>
    <n v="40"/>
    <n v="90"/>
    <x v="3"/>
  </r>
  <r>
    <n v="13"/>
    <n v="15"/>
    <s v="kontrola urazu"/>
    <s v="Ocena procesu gojenia kończyny."/>
    <s v="Stan stabilny. Opatrunek wymieniony."/>
    <n v="35"/>
    <n v="85"/>
    <x v="3"/>
  </r>
  <r>
    <n v="14"/>
    <n v="16"/>
    <s v="kontrola pooperacyjna"/>
    <s v="Kontrola po zabiegu usunięcia guza."/>
    <s v="Pacjent w dobrej kondycji. Rana goi się prawidłowo."/>
    <n v="30"/>
    <n v="75"/>
    <x v="4"/>
  </r>
  <r>
    <n v="15"/>
    <n v="17"/>
    <s v="szczepienie"/>
    <s v="Podanie szczepionki przeciw parwowirozie i nosówce."/>
    <s v="Zwierzę spokojne. Brak reakcji niepożądanych. Zalecane szczepienie przypominające za rok."/>
    <n v="30"/>
    <n v="55"/>
    <x v="0"/>
  </r>
  <r>
    <n v="16"/>
    <n v="18"/>
    <s v="dermatologia"/>
    <s v="Ocena zmian skórnych, pobranie próbki do badania."/>
    <s v="Alergia kontaktowa potwierdzona. Zalecono eliminację czynnika drażniącego."/>
    <n v="45"/>
    <n v="80"/>
    <x v="1"/>
  </r>
  <r>
    <n v="17"/>
    <n v="19"/>
    <s v="ortopedia"/>
    <s v="Badanie i ocena urazu łapy, wykonanie RTG."/>
    <s v="Skręcenie I stopnia. Założono stabilizator. Zalecono 5 dni ograniczonego ruchu."/>
    <n v="60"/>
    <n v="120"/>
    <x v="3"/>
  </r>
  <r>
    <n v="18"/>
    <n v="20"/>
    <s v="chirurgia"/>
    <s v="Zabieg kastracji samca w znieczuleniu ogólnym."/>
    <s v="Zabieg przebiegł bez powikłań. Szwy do usunięcia po 10 dniach."/>
    <n v="90"/>
    <n v="350"/>
    <x v="4"/>
  </r>
  <r>
    <n v="19"/>
    <n v="21"/>
    <s v="badanie ogólne"/>
    <s v="Standardowe badanie fizykalne: serce, płuca, jama brzuszna, skóra."/>
    <s v="Zwierzę w pełni zdrowe. Brak odchyleń."/>
    <n v="30"/>
    <n v="60"/>
    <x v="6"/>
  </r>
  <r>
    <n v="20"/>
    <n v="22"/>
    <s v="szczepienie"/>
    <s v="Podanie szczepionki mieszanej (mix podstawowy)."/>
    <s v="Brak reakcji. Kolejne szczepienie za rok."/>
    <n v="25"/>
    <n v="50"/>
    <x v="0"/>
  </r>
  <r>
    <n v="21"/>
    <n v="23"/>
    <s v="dermatologia"/>
    <s v="Ocena stanu skóry, wywiad alergiczny."/>
    <s v="Nadwrażliwość pokarmowa - zmiana karmy na hipoalergiczną."/>
    <n v="50"/>
    <n v="90"/>
    <x v="1"/>
  </r>
  <r>
    <n v="22"/>
    <n v="24"/>
    <s v="ortopedia"/>
    <s v="Ocena złamania palca, założenie szyny gipsowej."/>
    <s v="Złamanie palca IV lewej łapy tylnej. Szyna gipsowa – kontrola za 3 tyg."/>
    <n v="75"/>
    <n v="150"/>
    <x v="3"/>
  </r>
  <r>
    <n v="23"/>
    <n v="25"/>
    <s v="kardiologia"/>
    <s v="EKG spoczynkowe, osłuchiwanie serca."/>
    <s v="Brak nieprawidłowości. Rytm zatokowy prawidłowy."/>
    <n v="40"/>
    <n v="110"/>
    <x v="7"/>
  </r>
  <r>
    <n v="24"/>
    <n v="26"/>
    <s v="chirurgia"/>
    <s v="Sterylizacja samicy w znieczuleniu ogólnym."/>
    <s v="Ovariohysterektomia bez komplikacji. Szwy do zdjęcia po 10 dniach."/>
    <n v="95"/>
    <n v="400"/>
    <x v="4"/>
  </r>
  <r>
    <n v="25"/>
    <n v="27"/>
    <s v="diagnostyka"/>
    <s v="Morfologia krwi + RTG klatki piersiowej."/>
    <s v="Wyniki morfologii w normie. RTG bez zmian patologicznych."/>
    <n v="60"/>
    <n v="180"/>
    <x v="5"/>
  </r>
  <r>
    <n v="26"/>
    <n v="28"/>
    <s v="kontrola"/>
    <s v="Kontrolna wizyta po leczeniu alergii."/>
    <s v="Znaczna poprawa po zmianie diety. Leczenie kontynuować."/>
    <n v="30"/>
    <n v="40"/>
    <x v="2"/>
  </r>
  <r>
    <n v="27"/>
    <n v="29"/>
    <s v="odrobaczanie"/>
    <s v="Podanie preparatu odrobaczającego (Milbactor)."/>
    <s v="Odrobaczanie profilaktyczne. Kolejne za 6 mies."/>
    <n v="15"/>
    <n v="35"/>
    <x v="8"/>
  </r>
  <r>
    <n v="28"/>
    <n v="30"/>
    <s v="badanie ogólne"/>
    <s v="Kompleksowe badanie fizykalne."/>
    <s v="Brak uwag. Zwierzę zdrowe."/>
    <n v="30"/>
    <n v="60"/>
    <x v="6"/>
  </r>
  <r>
    <n v="29"/>
    <n v="31"/>
    <s v="kardiologia"/>
    <s v="Osłuchiwanie i EKG."/>
    <s v="Szmer sercowy II stopnia. Zalecona kontrola za miesiąc, echo serca."/>
    <n v="45"/>
    <n v="130"/>
    <x v="7"/>
  </r>
  <r>
    <n v="30"/>
    <n v="32"/>
    <s v="dermatologia"/>
    <s v="Diagnostyka mykologiczna, pobranie próbek."/>
    <s v="Grzybica potwierdzona. Wdrożono leczenie miejscowe i ogólne."/>
    <n v="50"/>
    <n v="100"/>
    <x v="1"/>
  </r>
  <r>
    <n v="31"/>
    <n v="33"/>
    <s v="chirurgia"/>
    <s v="Kastracja samca, zabieg standardowy."/>
    <s v="Przebieg prawidłowy. Szwy wchłanialne. Kontrola za tydzień."/>
    <n v="85"/>
    <n v="350"/>
    <x v="4"/>
  </r>
  <r>
    <n v="32"/>
    <n v="34"/>
    <s v="kontrola"/>
    <s v="Kontrola po szczepieniu."/>
    <s v="Brak odczynu poszczepiennego. Zwierzę zdrowe."/>
    <n v="20"/>
    <n v="40"/>
    <x v="2"/>
  </r>
  <r>
    <n v="33"/>
    <n v="35"/>
    <s v="chirurgia"/>
    <s v="Oczyszczenie ran od zadrapania, dezynfekcja."/>
    <s v="Rany powierzchowne. Oczyszczone i zabezpieczone. Monitorować przez 3 dni."/>
    <n v="35"/>
    <n v="70"/>
    <x v="4"/>
  </r>
  <r>
    <n v="34"/>
    <n v="36"/>
    <s v="szczepienie"/>
    <s v="Szczepionka wielowalentna dla kotów (HCPCh)."/>
    <s v="Brak reakcji poszczepiennej. Kolejne za rok."/>
    <n v="25"/>
    <n v="55"/>
    <x v="0"/>
  </r>
  <r>
    <n v="35"/>
    <n v="37"/>
    <s v="kardiologia"/>
    <s v="Kontrola szmerów sercowych, EKG i echo."/>
    <s v="Szmer sercowy stabilny. Wdrożono leczenie farmakologiczne."/>
    <n v="60"/>
    <n v="220"/>
    <x v="7"/>
  </r>
  <r>
    <n v="36"/>
    <n v="38"/>
    <s v="dermatologia"/>
    <s v="Kontrola wyprysku alergicznego."/>
    <s v="Poprawa po kortykoterapii. Dawka redukowana."/>
    <n v="35"/>
    <n v="70"/>
    <x v="1"/>
  </r>
  <r>
    <n v="37"/>
    <n v="39"/>
    <s v="badanie ogólne"/>
    <s v="Pełne badanie fizykalne."/>
    <s v="Brak uwag. Kondycja bardzo dobra."/>
    <n v="30"/>
    <n v="60"/>
    <x v="6"/>
  </r>
  <r>
    <n v="38"/>
    <n v="40"/>
    <s v="ortopedia"/>
    <s v="Ocena ruchomości i zakresu ruchu stawów."/>
    <s v="Nieznaczna sztywność bioder. Zalecona suplementacja glukosaminy."/>
    <n v="45"/>
    <n v="90"/>
    <x v="3"/>
  </r>
  <r>
    <n v="39"/>
    <n v="41"/>
    <s v="diagnostyka"/>
    <s v="Morfologia krwi z rozmazem."/>
    <s v="Wyniki w granicach normy dla gatunku."/>
    <n v="30"/>
    <n v="85"/>
    <x v="5"/>
  </r>
  <r>
    <n v="40"/>
    <n v="42"/>
    <s v="odrobaczanie"/>
    <s v="Profilaktyczne odrobaczanie (Panacur)."/>
    <s v="Bez powikłań. Kolejne za 6 mies."/>
    <n v="15"/>
    <n v="35"/>
    <x v="8"/>
  </r>
  <r>
    <n v="41"/>
    <n v="43"/>
    <s v="kardiologia"/>
    <s v="USG serca (echokardiografia)."/>
    <s v="Bez zmian strukturalnych. Frakcja wyrzutowa prawidłowa."/>
    <n v="50"/>
    <n v="250"/>
    <x v="7"/>
  </r>
  <r>
    <n v="42"/>
    <n v="44"/>
    <s v="dermatologia"/>
    <s v="Ocena łupieżu, wywiad pielęgnacyjny."/>
    <s v="Łupież suchy – zalecono szampony lecznicze 2x tydz."/>
    <n v="40"/>
    <n v="80"/>
    <x v="1"/>
  </r>
  <r>
    <n v="43"/>
    <n v="45"/>
    <s v="chirurgia"/>
    <s v="Usunięcie ciała obcego z żołądka (laparotomia)."/>
    <s v="Ciało obce (fragment zabawki) usunięte. Przebieg operacji bez komplikacji."/>
    <n v="150"/>
    <n v="900"/>
    <x v="4"/>
  </r>
  <r>
    <n v="44"/>
    <n v="46"/>
    <s v="ortopedia"/>
    <s v="RTG + ocena złamania kości śródstopia."/>
    <s v="Złamanie poprzeczne III kości śródstopia. Unieruchomienie opatrunkiem."/>
    <n v="80"/>
    <n v="160"/>
    <x v="3"/>
  </r>
  <r>
    <n v="45"/>
    <n v="47"/>
    <s v="szczepienie"/>
    <s v="Szczepienie roczne przypominające (wścieklizna + DHPPI)."/>
    <s v="Brak odczynu. Certyfikat wystawiony."/>
    <n v="25"/>
    <n v="70"/>
    <x v="0"/>
  </r>
  <r>
    <n v="46"/>
    <n v="48"/>
    <s v="badanie ogólne"/>
    <s v="Kontrola kondycji ciała, pomiar BMI."/>
    <s v="BMI wskazuje nadwagę. Zalecona dieta redukcyjna -15%."/>
    <n v="35"/>
    <n v="65"/>
    <x v="6"/>
  </r>
  <r>
    <n v="47"/>
    <n v="49"/>
    <s v="kardiologia"/>
    <s v="Wdrożenie leczenia - Atenolol + Furosemid."/>
    <s v="Kardiomiopatia rozstrzeniowa - leczenie przewlekłe wdrożone."/>
    <n v="50"/>
    <n v="200"/>
    <x v="7"/>
  </r>
  <r>
    <n v="48"/>
    <n v="50"/>
    <s v="dermatologia"/>
    <s v="Wywiad alergiczny, testy skórne."/>
    <s v="Alergia atopowa. Identyfikacja alergenów. Immunoterapia zalecona."/>
    <n v="60"/>
    <n v="150"/>
    <x v="1"/>
  </r>
  <r>
    <n v="49"/>
    <n v="51"/>
    <s v="chirurgia"/>
    <s v="Chirurgiczne usunięcie tłuszczaka."/>
    <s v="Lipoma 3 cm usunięta pod znieczuleniem miejscowym. Szwy wchłanialne."/>
    <n v="60"/>
    <n v="300"/>
    <x v="4"/>
  </r>
  <r>
    <n v="50"/>
    <n v="52"/>
    <s v="ortopedia"/>
    <s v="Kontrola po złamaniu, ocena radiologiczna."/>
    <s v="Zrost prawidłowy. Szyna usunięta. Pełen powrót do aktywności."/>
    <n v="40"/>
    <n v="90"/>
    <x v="3"/>
  </r>
  <r>
    <n v="51"/>
    <n v="53"/>
    <s v="kardiologia"/>
    <s v="Stabilizacja leczenia - kontrola EKG."/>
    <s v="EKG wskazuje stabilizację. Dawki leków utrzymane."/>
    <n v="35"/>
    <n v="110"/>
    <x v="7"/>
  </r>
  <r>
    <n v="52"/>
    <n v="54"/>
    <s v="szczepienie"/>
    <s v="Szczepionka DHPPI, Lepto."/>
    <s v="Brak odczynu poszczepiennego. Certyfikat wystawiony."/>
    <n v="25"/>
    <n v="70"/>
    <x v="0"/>
  </r>
  <r>
    <n v="53"/>
    <n v="55"/>
    <s v="dermatologia"/>
    <s v="Badanie zmian liszajowych."/>
    <s v="Liszaj obrączkowy. Wdrożono leczenie przeciwgrzybicze."/>
    <n v="45"/>
    <n v="100"/>
    <x v="1"/>
  </r>
  <r>
    <n v="54"/>
    <n v="56"/>
    <s v="ortopedia"/>
    <s v="Kontrola po złamaniu - RTG."/>
    <s v="Zrost kompletny. Szyna usunięta."/>
    <n v="35"/>
    <n v="80"/>
    <x v="3"/>
  </r>
  <r>
    <n v="55"/>
    <n v="57"/>
    <s v="badanie ogólne"/>
    <s v="Standardowe badanie fizykalne."/>
    <s v="Brak uwag. Zwierzę w dobrej kondycji."/>
    <n v="30"/>
    <n v="60"/>
    <x v="6"/>
  </r>
  <r>
    <n v="56"/>
    <n v="58"/>
    <s v="diagnostyka"/>
    <s v="RTG klatki piersiowej."/>
    <s v="Płuca bez zmian. Serce prawidłowej wielkości."/>
    <n v="40"/>
    <n v="130"/>
    <x v="5"/>
  </r>
  <r>
    <n v="57"/>
    <n v="59"/>
    <s v="odrobaczanie"/>
    <s v="Odrobaczanie - Milbactor tabletki."/>
    <s v="Odrobaczanie profilaktyczne zrealizowane."/>
    <n v="15"/>
    <n v="35"/>
    <x v="8"/>
  </r>
  <r>
    <n v="58"/>
    <n v="60"/>
    <s v="chirurgia"/>
    <s v="Ekstrakcja zęba mlecznego."/>
    <s v="Ząb mleczny usunięty bez powikłań. Gojenie ok. 5 dni."/>
    <n v="40"/>
    <n v="200"/>
    <x v="4"/>
  </r>
  <r>
    <n v="59"/>
    <n v="61"/>
    <s v="dermatologia"/>
    <s v="Ocena zapalenia skóry, pobranie wymazu."/>
    <s v="Bakteryjne zapalenie skóry. Antybiotyk miejscowy."/>
    <n v="40"/>
    <n v="85"/>
    <x v="1"/>
  </r>
  <r>
    <n v="60"/>
    <n v="62"/>
    <s v="ortopedia"/>
    <s v="Ocena zwichnięcia stawu kolanowego."/>
    <s v="Zwichnięcie II stopnia. Repozycja manualna. Stabilizator na 2 tyg."/>
    <n v="90"/>
    <n v="300"/>
    <x v="3"/>
  </r>
  <r>
    <n v="61"/>
    <n v="63"/>
    <s v="kardiologia"/>
    <s v="Kontrola kardiologiczna."/>
    <s v="Stan stabilny. Leczenie kontynuowane."/>
    <n v="35"/>
    <n v="110"/>
    <x v="7"/>
  </r>
  <r>
    <n v="62"/>
    <n v="64"/>
    <s v="diagnostyka"/>
    <s v="Morfologia, biochemia krwi."/>
    <s v="Wyniki w normie."/>
    <n v="30"/>
    <n v="90"/>
    <x v="5"/>
  </r>
  <r>
    <n v="63"/>
    <n v="65"/>
    <s v="chirurgia"/>
    <s v="Biopsja guza skóry."/>
    <s v="Znaczna poprawa. Leki na 7 dni."/>
    <n v="25"/>
    <n v="40"/>
    <x v="4"/>
  </r>
  <r>
    <n v="64"/>
    <n v="69"/>
    <s v="kardiologia"/>
    <s v="EKG - nieznaczne odchylenia."/>
    <s v="Nieznaczne odchylenia STT. Zalecona kontrola za 2 tyg."/>
    <n v="40"/>
    <n v="120"/>
    <x v="7"/>
  </r>
  <r>
    <n v="65"/>
    <n v="70"/>
    <s v="diagnostyka"/>
    <s v="USG jamy brzusznej."/>
    <s v="Narządy wewnętrzne bez zmian patologicznych."/>
    <n v="45"/>
    <n v="180"/>
    <x v="5"/>
  </r>
  <r>
    <n v="66"/>
    <n v="71"/>
    <s v="chirurgia"/>
    <s v="Usunięcie kamieni nerkowych (urolitotomia)."/>
    <s v="Urolitotomia zakończona sukcesem. Drenaż założony na 48 h."/>
    <n v="180"/>
    <n v="1200"/>
    <x v="4"/>
  </r>
  <r>
    <n v="67"/>
    <n v="72"/>
    <s v="dermatologia"/>
    <s v="Kontrola po leczeniu wyprysku."/>
    <s v="Poprawa - zmiana leku na słabszą maść."/>
    <n v="30"/>
    <n v="65"/>
    <x v="1"/>
  </r>
  <r>
    <n v="68"/>
    <n v="73"/>
    <s v="szczepienie"/>
    <s v="Szczepionka przypominająca (wścieklizna)."/>
    <s v="Certyfikat wystawiony. Ważność 3 lata."/>
    <n v="20"/>
    <n v="60"/>
    <x v="0"/>
  </r>
  <r>
    <n v="69"/>
    <n v="76"/>
    <s v="kontrola"/>
    <s v="Kontrola po szczepieniu."/>
    <s v="Brak odczynu. Stan zdrowia dobry."/>
    <n v="20"/>
    <n v="40"/>
    <x v="2"/>
  </r>
  <r>
    <n v="70"/>
    <n v="77"/>
    <s v="dermatologia"/>
    <s v="Kontrola alergii kontaktowej."/>
    <s v="Alergia wygasa. Leki odstawione."/>
    <n v="25"/>
    <n v="50"/>
    <x v="1"/>
  </r>
  <r>
    <n v="71"/>
    <n v="78"/>
    <s v="kardiologia"/>
    <s v="EKG stabilne, kontrola."/>
    <s v="Rytm zatokowy prawidłowy. Brak zmian."/>
    <n v="30"/>
    <n v="100"/>
    <x v="7"/>
  </r>
  <r>
    <n v="72"/>
    <n v="79"/>
    <s v="kontrola"/>
    <s v="Kontrola rany po kastracji."/>
    <s v="Rana zagojona całkowicie. Brak infekcji."/>
    <n v="20"/>
    <n v="40"/>
    <x v="2"/>
  </r>
  <r>
    <n v="73"/>
    <n v="80"/>
    <s v="kardiologia"/>
    <s v="Ocena odpowiedzi na leczenie."/>
    <s v="Leki działają prawidłowo. Dawki utrzymane."/>
    <n v="35"/>
    <n v="110"/>
    <x v="7"/>
  </r>
  <r>
    <n v="74"/>
    <n v="81"/>
    <s v="badanie ogólne"/>
    <s v="Profilaktyczne badanie fizykalne."/>
    <s v="Brak uwag. Kondycja bardzo dobra."/>
    <n v="30"/>
    <n v="60"/>
    <x v="6"/>
  </r>
  <r>
    <n v="75"/>
    <n v="82"/>
    <s v="chirurgia"/>
    <s v="Kontrola rany po laparotomii."/>
    <s v="Rana 80% zagojona. Zmiana opatrunku. Kontynuacja leczenia."/>
    <n v="25"/>
    <n v="80"/>
    <x v="4"/>
  </r>
  <r>
    <n v="76"/>
    <n v="83"/>
    <s v="ortopedia"/>
    <s v="Ocena radiologiczna złamania."/>
    <s v="Zrost prawidłowy. Zalecona fizjoterapia."/>
    <n v="40"/>
    <n v="100"/>
    <x v="3"/>
  </r>
  <r>
    <n v="77"/>
    <n v="84"/>
    <s v="kardiologia"/>
    <s v="Stabilizacja leczenia kardiologicznego."/>
    <s v="Stan kliniczny poprawiony. Leki zredukowane."/>
    <n v="35"/>
    <n v="110"/>
    <x v="7"/>
  </r>
  <r>
    <n v="78"/>
    <n v="85"/>
    <s v="kontrola"/>
    <s v="Kontrola po lipomektomii."/>
    <s v="Blizna prawidłowo zagojona. Brak nawrotu."/>
    <n v="20"/>
    <n v="40"/>
    <x v="2"/>
  </r>
  <r>
    <n v="79"/>
    <n v="86"/>
    <s v="diagnostyka"/>
    <s v="Badanie moczu - urinaliza."/>
    <s v="Wyniki prawidłowe. Funkcja nerek zachowana."/>
    <n v="30"/>
    <n v="70"/>
    <x v="5"/>
  </r>
  <r>
    <n v="80"/>
    <n v="87"/>
    <s v="ortopedia"/>
    <s v="Zdjęcie szyny, kontrola radiologiczna."/>
    <s v="Zrost kompletny. Pełne obciążanie możliwe."/>
    <n v="35"/>
    <n v="90"/>
    <x v="3"/>
  </r>
  <r>
    <n v="81"/>
    <n v="88"/>
    <s v="kontrola"/>
    <s v="Kontrola rany po ekstrakcji zęba."/>
    <s v="Rana zagojona. Brak infekcji."/>
    <n v="20"/>
    <n v="40"/>
    <x v="2"/>
  </r>
  <r>
    <n v="82"/>
    <n v="89"/>
    <s v="ortopedia"/>
    <s v="Rehabilitacja stawu kolanowego."/>
    <s v="Zakres ruchomości 80%. Zalecono ćwiczenia w domu."/>
    <n v="45"/>
    <n v="110"/>
    <x v="3"/>
  </r>
  <r>
    <n v="83"/>
    <n v="90"/>
    <s v="diagnostyka"/>
    <s v="Kontrola wyników krwi."/>
    <s v="Normalizacja wartości. Leczenie zakończono."/>
    <n v="25"/>
    <n v="80"/>
    <x v="5"/>
  </r>
  <r>
    <n v="84"/>
    <n v="91"/>
    <s v="chirurgia"/>
    <s v="Omówienie wyniku biopsji - zmiana łagodna."/>
    <s v="Wynik histopatologiczny: gruczolak łojowy - zmiana łagodna. Obserwacja."/>
    <n v="30"/>
    <n v="60"/>
    <x v="4"/>
  </r>
  <r>
    <n v="85"/>
    <n v="92"/>
    <s v="ortopedia"/>
    <s v="Pełna ocena funkcjonalna po urazie."/>
    <s v="Zwierzę chodzi prawidłowo. Zakończenie leczenia."/>
    <n v="30"/>
    <n v="70"/>
    <x v="3"/>
  </r>
  <r>
    <n v="86"/>
    <n v="93"/>
    <s v="kardiologia"/>
    <s v="Normalizacja EKG."/>
    <s v="Pełna normalizacja zapisu. Dawki leków zredukowane o 50%."/>
    <n v="35"/>
    <n v="100"/>
    <x v="7"/>
  </r>
  <r>
    <n v="87"/>
    <n v="94"/>
    <s v="chirurgia"/>
    <s v="Kontrola blizny po operacji nerek."/>
    <s v="Gojenie prawidłowe. Drenaż usunięty. Antybiotyk zakończony."/>
    <n v="30"/>
    <n v="80"/>
    <x v="4"/>
  </r>
  <r>
    <n v="88"/>
    <n v="95"/>
    <s v="ortopedia"/>
    <s v="Usunięcie szwów z łapy."/>
    <s v="Rana zagojona. Szwy usunięte. Zakończenie leczenia."/>
    <n v="20"/>
    <n v="50"/>
    <x v="3"/>
  </r>
  <r>
    <n v="89"/>
    <n v="96"/>
    <s v="dermatologia"/>
    <s v="Kontrola alergii kontaktowej."/>
    <s v="Całkowita remisja. Leczenie zakończone."/>
    <n v="25"/>
    <n v="50"/>
    <x v="1"/>
  </r>
  <r>
    <n v="90"/>
    <n v="97"/>
    <s v="kardiologia"/>
    <s v="Szmer sercowy stabilny."/>
    <s v="Stan niezmienny. Obserwacja kontynuowana co 3 miesiące."/>
    <n v="35"/>
    <n v="100"/>
    <x v="7"/>
  </r>
  <r>
    <n v="91"/>
    <n v="98"/>
    <s v="dermatologia"/>
    <s v="Grzybica wyleczona, kontrola."/>
    <s v="Brak zmian grzybiczych. Leczenie zakończone."/>
    <n v="25"/>
    <n v="50"/>
    <x v="1"/>
  </r>
  <r>
    <n v="92"/>
    <n v="99"/>
    <s v="dermatologia"/>
    <s v="Wyprysk - remisja."/>
    <s v="Skóra czysta. Leczenie zakończone."/>
    <n v="25"/>
    <n v="50"/>
    <x v="1"/>
  </r>
  <r>
    <n v="93"/>
    <n v="100"/>
    <s v="ortopedia"/>
    <s v="Kontrola po urazie, pełne zdrowie."/>
    <s v="Brak dolegliwości. Leczenie zakończone."/>
    <n v="25"/>
    <n v="60"/>
    <x v="3"/>
  </r>
  <r>
    <n v="94"/>
    <n v="101"/>
    <s v="ortopedia"/>
    <s v="Kontrola złamania, wyniki dobre."/>
    <s v="Zrost kompletny. Aktywność nieograniczona."/>
    <n v="30"/>
    <n v="70"/>
    <x v="3"/>
  </r>
  <r>
    <n v="95"/>
    <n v="102"/>
    <s v="ortopedia"/>
    <s v="Ocena stawów - brak zmian."/>
    <s v="Stawy sprawne. Brak konieczności interwencji."/>
    <n v="35"/>
    <n v="70"/>
    <x v="3"/>
  </r>
  <r>
    <n v="96"/>
    <n v="103"/>
    <s v="dermatologia"/>
    <s v="Kontrola po leczeniu łupieżu."/>
    <s v="Łupież ustąpił po szamponie. Kontynuować profilaktycznie."/>
    <n v="25"/>
    <n v="50"/>
    <x v="1"/>
  </r>
  <r>
    <n v="97"/>
    <n v="104"/>
    <s v="badanie ogólne"/>
    <s v="Profilaktyczne badanie roczne."/>
    <s v="Brak uwag. Wagomiar prawidłowy."/>
    <n v="30"/>
    <n v="60"/>
    <x v="6"/>
  </r>
  <r>
    <n v="98"/>
    <n v="105"/>
    <s v="dieta"/>
    <s v="Kontrola wagi - postęp leczenia otyłości."/>
    <s v="Waga -1.2 kg vs wizyta wyjściowa. Dalej dieta redukcyjna."/>
    <n v="25"/>
    <n v="45"/>
    <x v="9"/>
  </r>
  <r>
    <n v="99"/>
    <n v="106"/>
    <s v="dermatologia"/>
    <s v="Kontrola po immunoterapii alergicznej."/>
    <s v="Reakcja na alergeny zmniejszona. Kontynuować cykl."/>
    <n v="40"/>
    <n v="100"/>
    <x v="1"/>
  </r>
  <r>
    <n v="100"/>
    <n v="107"/>
    <s v="dermatologia"/>
    <s v="Liszaj wyleczony."/>
    <s v="Skóra czysta. Terapia zakończona."/>
    <n v="25"/>
    <n v="50"/>
    <x v="1"/>
  </r>
  <r>
    <n v="101"/>
    <n v="108"/>
    <s v="badanie ogólne"/>
    <s v="Profilaktyczna wizyta."/>
    <s v="Brak uwag."/>
    <n v="30"/>
    <n v="60"/>
    <x v="6"/>
  </r>
  <r>
    <n v="102"/>
    <n v="109"/>
    <s v="odrobaczanie"/>
    <s v="Kontrola po odrobaczaniu."/>
    <s v="Brak pasożytów. Kolejne odrobaczanie za 6 mies."/>
    <n v="15"/>
    <n v="30"/>
    <x v="8"/>
  </r>
  <r>
    <n v="103"/>
    <n v="110"/>
    <s v="dermatologia"/>
    <s v="Zapalenie skóry wyleczone."/>
    <s v="Skóra czysta. Leczenie zakończone."/>
    <n v="25"/>
    <n v="50"/>
    <x v="1"/>
  </r>
  <r>
    <n v="104"/>
    <n v="111"/>
    <s v="kardiologia"/>
    <s v="Kontrola - leczenie kardiologiczne."/>
    <s v="Stan stabilny. Leki kontynuowane."/>
    <n v="35"/>
    <n v="100"/>
    <x v="7"/>
  </r>
  <r>
    <n v="105"/>
    <n v="112"/>
    <s v="badanie ogólne"/>
    <s v="Profilaktyczne badanie roczne."/>
    <s v="Rex w pełni zdrowy. Waga prawidłowa."/>
    <n v="30"/>
    <n v="65"/>
    <x v="6"/>
  </r>
  <r>
    <n v="106"/>
    <n v="113"/>
    <s v="dermatologia"/>
    <s v="Alergia sezonowa  ocena skóry."/>
    <s v="Lekkie podrażnienie. Maść łagodząca. Kontrola za 2 tyg."/>
    <n v="35"/>
    <n v="75"/>
    <x v="1"/>
  </r>
  <r>
    <n v="107"/>
    <n v="114"/>
    <s v="szczepienie"/>
    <s v="DHPPI roczna - przypomnienie."/>
    <s v="Brak odczynu. Certyfikat wystawiony."/>
    <n v="25"/>
    <n v="65"/>
    <x v="0"/>
  </r>
  <r>
    <n v="108"/>
    <n v="115"/>
    <s v="ortopedia"/>
    <s v="Kontrola łapy, badanie RTG."/>
    <s v="Łapa w pełni sprawna. Brak dolegliwości."/>
    <n v="30"/>
    <n v="80"/>
    <x v="3"/>
  </r>
  <r>
    <n v="109"/>
    <n v="116"/>
    <s v="dermatologia"/>
    <s v="Wyprysk letni, leczenie miejscowe."/>
    <s v="Maść kortykosteroidowa na 7 dni. Kontrola."/>
    <n v="40"/>
    <n v="80"/>
    <x v="1"/>
  </r>
  <r>
    <n v="110"/>
    <n v="117"/>
    <s v="badanie ogólne"/>
    <s v="Kompleksowe badanie fizykalne."/>
    <s v="Zdrowy. Brak uwag."/>
    <n v="30"/>
    <n v="60"/>
    <x v="6"/>
  </r>
  <r>
    <n v="111"/>
    <n v="118"/>
    <s v="diagnostyka"/>
    <s v="Morfologia, biochemia - kontrola."/>
    <s v="Wyniki bez odchyleń."/>
    <n v="35"/>
    <n v="95"/>
    <x v="5"/>
  </r>
  <r>
    <n v="112"/>
    <n v="119"/>
    <s v="ortopedia"/>
    <s v="Łapa w pełni sprawna - finalne badanie."/>
    <s v="Zakończenie leczenia. Maks w pełni zdrowy."/>
    <n v="25"/>
    <n v="60"/>
    <x v="3"/>
  </r>
  <r>
    <n v="113"/>
    <n v="120"/>
    <s v="badanie ogólne"/>
    <s v="Badanie profilaktyczne."/>
    <s v="Brak uwag."/>
    <n v="30"/>
    <n v="60"/>
    <x v="6"/>
  </r>
  <r>
    <n v="114"/>
    <n v="121"/>
    <s v="szczepienie"/>
    <s v="Wścieklizna - ważność 3 lata."/>
    <s v="Certyfikat wystawiony."/>
    <n v="20"/>
    <n v="60"/>
    <x v="0"/>
  </r>
  <r>
    <n v="115"/>
    <n v="122"/>
    <s v="kontrola"/>
    <s v="Kontrola po kastracji, wygojenie pełne."/>
    <s v="Rana zagojona całkowicie. Leczenie zakończone."/>
    <n v="20"/>
    <n v="40"/>
    <x v="2"/>
  </r>
  <r>
    <n v="116"/>
    <n v="123"/>
    <s v="badanie ogólne"/>
    <s v="Kompleksowe badanie profilaktyczne."/>
    <s v="Brak uwag."/>
    <n v="30"/>
    <n v="60"/>
    <x v="6"/>
  </r>
  <r>
    <n v="117"/>
    <n v="124"/>
    <s v="szczepienie"/>
    <s v="Szczepionka roczna."/>
    <s v="Brak odczynu. Certyfikat."/>
    <n v="20"/>
    <n v="55"/>
    <x v="0"/>
  </r>
  <r>
    <n v="118"/>
    <n v="125"/>
    <s v="kontrola"/>
    <s v="Kontrola po sterylizacji."/>
    <s v="Pełne wygojenie. Leczenie zakończone."/>
    <n v="20"/>
    <n v="40"/>
    <x v="2"/>
  </r>
  <r>
    <n v="119"/>
    <n v="126"/>
    <s v="diagnostyka"/>
    <s v="USG profilaktyczne."/>
    <s v="Narządy bez zmian."/>
    <n v="40"/>
    <n v="160"/>
    <x v="5"/>
  </r>
  <r>
    <n v="120"/>
    <n v="127"/>
    <s v="odrobaczanie"/>
    <s v="Odrobaczanie letnie."/>
    <s v="Profilaktyka zrealizowana."/>
    <n v="15"/>
    <n v="35"/>
    <x v="8"/>
  </r>
  <r>
    <n v="121"/>
    <n v="128"/>
    <s v="badanie ogólne"/>
    <s v="Morfologia profilaktyczna."/>
    <s v="Wyniki w normie."/>
    <n v="30"/>
    <n v="65"/>
    <x v="6"/>
  </r>
  <r>
    <n v="122"/>
    <n v="129"/>
    <s v="kontrola"/>
    <s v="Rany po zadrapaniu – wygojone."/>
    <s v="Brak śladów po ranie. Zakończenie leczenia."/>
    <n v="20"/>
    <n v="40"/>
    <x v="2"/>
  </r>
  <r>
    <n v="123"/>
    <n v="130"/>
    <s v="szczepienie"/>
    <s v="Szczepienie przypominające."/>
    <s v="Brak odczynu."/>
    <n v="20"/>
    <n v="55"/>
    <x v="0"/>
  </r>
  <r>
    <n v="124"/>
    <n v="131"/>
    <s v="diagnostyka"/>
    <s v="Kontrola morfologii."/>
    <s v="Wyniki stabilne. Leczenie kontynuowane."/>
    <n v="30"/>
    <n v="85"/>
    <x v="5"/>
  </r>
  <r>
    <n v="125"/>
    <n v="132"/>
    <s v="odrobaczanie"/>
    <s v="Odrobaczanie sezonowe."/>
    <s v="Bez powikłań."/>
    <n v="15"/>
    <n v="35"/>
    <x v="8"/>
  </r>
  <r>
    <n v="126"/>
    <n v="133"/>
    <s v="kardiologia"/>
    <s v="USG serca - kontrola."/>
    <s v="Stan serca stabilny."/>
    <n v="45"/>
    <n v="230"/>
    <x v="7"/>
  </r>
  <r>
    <n v="127"/>
    <n v="134"/>
    <s v="kardiologia"/>
    <s v="Kontrola, dobra odpowiedź na leczenie."/>
    <s v="Dawki leków utrzymane."/>
    <n v="35"/>
    <n v="100"/>
    <x v="7"/>
  </r>
  <r>
    <n v="128"/>
    <n v="135"/>
    <s v="ortopedia"/>
    <s v="Radiologiczna ocena złamania."/>
    <s v="Kości całkowicie zrośnięte."/>
    <n v="35"/>
    <n v="90"/>
    <x v="3"/>
  </r>
  <r>
    <n v="129"/>
    <n v="136"/>
    <s v="szczepienie"/>
    <s v="Szczepienie DHPPI, wścieklizna."/>
    <s v="Podwójne szczepienie. Certyfikat wystawiony."/>
    <n v="25"/>
    <n v="90"/>
    <x v="0"/>
  </r>
  <r>
    <n v="130"/>
    <n v="137"/>
    <s v="diagnostyka"/>
    <s v="RTG kontrolne."/>
    <s v="Stan prawidłowy."/>
    <n v="35"/>
    <n v="120"/>
    <x v="5"/>
  </r>
  <r>
    <n v="131"/>
    <n v="138"/>
    <s v="diagnostyka"/>
    <s v="Kontrola wyników krwi."/>
    <s v="Wyniki stabilne."/>
    <n v="30"/>
    <n v="85"/>
    <x v="5"/>
  </r>
  <r>
    <n v="132"/>
    <n v="139"/>
    <s v="dermatologia"/>
    <s v="Wizyta po anulowaniu, kontrola skóry."/>
    <s v="Lekkia wyprysk. Maść na 5 dni."/>
    <n v="35"/>
    <n v="75"/>
    <x v="1"/>
  </r>
  <r>
    <n v="133"/>
    <n v="140"/>
    <s v="szczepienie"/>
    <s v="Odroczone szczepienie wykonane."/>
    <s v="Brak reakcji."/>
    <n v="20"/>
    <n v="55"/>
    <x v="0"/>
  </r>
  <r>
    <n v="134"/>
    <n v="141"/>
    <s v="badanie ogólne"/>
    <s v="Kompleksowe badanie."/>
    <s v="Brak uwag."/>
    <n v="30"/>
    <n v="60"/>
    <x v="6"/>
  </r>
  <r>
    <n v="135"/>
    <n v="142"/>
    <s v="alergia"/>
    <s v="Koniec leczenia alergii."/>
    <s v="Alergia w pełnej remisji."/>
    <n v="25"/>
    <n v="50"/>
    <x v="1"/>
  </r>
  <r>
    <n v="136"/>
    <n v="143"/>
    <s v="szczepienie"/>
    <s v="Pełne szczepienie sezonowe."/>
    <s v="Certyfikat wystawiony."/>
    <n v="20"/>
    <n v="55"/>
    <x v="0"/>
  </r>
  <r>
    <n v="137"/>
    <n v="144"/>
    <s v="diagnostyka"/>
    <s v="USG kontrolne."/>
    <s v="Narządy bez zmian."/>
    <n v="40"/>
    <n v="160"/>
    <x v="5"/>
  </r>
  <r>
    <n v="138"/>
    <n v="145"/>
    <s v="chirurgia"/>
    <s v="Ocena blizny po operacji nerek."/>
    <s v="Prawidłowe gojenie. Blizna dojrzała."/>
    <n v="25"/>
    <n v="70"/>
    <x v="4"/>
  </r>
  <r>
    <n v="139"/>
    <n v="146"/>
    <s v="dermatologia"/>
    <s v="Wyprysk, pełna remisja."/>
    <s v="Skóra czysta. Leczenie zakończone."/>
    <n v="25"/>
    <n v="50"/>
    <x v="1"/>
  </r>
  <r>
    <n v="140"/>
    <n v="147"/>
    <s v="badanie ogólne"/>
    <s v="Profilaktyczna wizyta."/>
    <s v="Brak uwag."/>
    <n v="30"/>
    <n v="60"/>
    <x v="6"/>
  </r>
  <r>
    <n v="141"/>
    <n v="148"/>
    <s v="kardiologia"/>
    <s v="Stan dobry, kontrola."/>
    <s v="Leczenie kardiologiczne przynosi efekty."/>
    <n v="35"/>
    <n v="100"/>
    <x v="7"/>
  </r>
  <r>
    <n v="142"/>
    <n v="149"/>
    <s v="szczepienie"/>
    <s v="Szczepienie wykonane prawidłowo. Brak działań niepożądanych."/>
    <s v="Zalecana obserwacja przez 24h po szczepieniu."/>
    <n v="20"/>
    <n v="55"/>
    <x v="0"/>
  </r>
  <r>
    <n v="143"/>
    <n v="150"/>
    <s v="diagnostyka"/>
    <s v="Kontrolne badanie USG jamy brzusznej."/>
    <s v="Wyniki prawidłowe. Brak zmian."/>
    <n v="35"/>
    <n v="90"/>
    <x v="5"/>
  </r>
  <r>
    <n v="144"/>
    <n v="151"/>
    <s v="chirurgia"/>
    <s v="Kontrola pooperacyjna i ocena blizny."/>
    <s v="Blizna zagojona prawidłowo. Brak infekcji."/>
    <n v="25"/>
    <n v="80"/>
    <x v="4"/>
  </r>
  <r>
    <n v="145"/>
    <n v="152"/>
    <s v="dermatologia"/>
    <s v="Kontrola dermatologiczna po leczeniu wyprysku."/>
    <s v="Całkowita remisja zmian skórnych."/>
    <n v="30"/>
    <n v="65"/>
    <x v="1"/>
  </r>
  <r>
    <n v="146"/>
    <n v="153"/>
    <s v="badanie ogólne"/>
    <s v="Profilaktyczne badanie fizykalne."/>
    <s v="Stan zdrowia bardzo dobry. Brak nieprawidłowości."/>
    <n v="20"/>
    <n v="50"/>
    <x v="6"/>
  </r>
  <r>
    <n v="147"/>
    <n v="154"/>
    <s v="kardiologia"/>
    <s v="Kontrolne badanie kardiologiczne."/>
    <s v="Stan stabilny. Parametry sercowe prawidłowe."/>
    <n v="40"/>
    <n v="120"/>
    <x v="7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147">
  <r>
    <n v="1"/>
    <n v="1"/>
    <x v="0"/>
    <n v="50"/>
    <x v="0"/>
  </r>
  <r>
    <n v="2"/>
    <n v="2"/>
    <x v="1"/>
    <n v="40"/>
    <x v="1"/>
  </r>
  <r>
    <n v="3"/>
    <n v="3"/>
    <x v="2"/>
    <n v="30"/>
    <x v="0"/>
  </r>
  <r>
    <n v="4"/>
    <n v="4"/>
    <x v="3"/>
    <n v="90"/>
    <x v="1"/>
  </r>
  <r>
    <n v="5"/>
    <n v="5"/>
    <x v="4"/>
    <n v="150"/>
    <x v="2"/>
  </r>
  <r>
    <n v="7"/>
    <n v="7"/>
    <x v="5"/>
    <n v="15"/>
    <x v="1"/>
  </r>
  <r>
    <n v="9"/>
    <n v="9"/>
    <x v="6"/>
    <n v="110"/>
    <x v="0"/>
  </r>
  <r>
    <n v="10"/>
    <n v="10"/>
    <x v="7"/>
    <n v="60"/>
    <x v="2"/>
  </r>
  <r>
    <n v="11"/>
    <n v="11"/>
    <x v="8"/>
    <n v="50"/>
    <x v="2"/>
  </r>
  <r>
    <n v="12"/>
    <n v="12"/>
    <x v="9"/>
    <n v="70"/>
    <x v="0"/>
  </r>
  <r>
    <n v="13"/>
    <n v="13"/>
    <x v="10"/>
    <n v="80"/>
    <x v="0"/>
  </r>
  <r>
    <n v="14"/>
    <n v="4"/>
    <x v="3"/>
    <n v="90"/>
    <x v="1"/>
  </r>
  <r>
    <n v="15"/>
    <n v="9"/>
    <x v="6"/>
    <n v="85"/>
    <x v="0"/>
  </r>
  <r>
    <n v="16"/>
    <n v="5"/>
    <x v="4"/>
    <n v="75"/>
    <x v="2"/>
  </r>
  <r>
    <n v="17"/>
    <n v="14"/>
    <x v="11"/>
    <n v="55"/>
    <x v="1"/>
  </r>
  <r>
    <n v="18"/>
    <n v="15"/>
    <x v="12"/>
    <n v="80"/>
    <x v="1"/>
  </r>
  <r>
    <n v="19"/>
    <n v="16"/>
    <x v="13"/>
    <n v="120"/>
    <x v="0"/>
  </r>
  <r>
    <n v="20"/>
    <n v="17"/>
    <x v="14"/>
    <n v="350"/>
    <x v="1"/>
  </r>
  <r>
    <n v="21"/>
    <n v="18"/>
    <x v="15"/>
    <n v="60"/>
    <x v="3"/>
  </r>
  <r>
    <n v="22"/>
    <n v="19"/>
    <x v="16"/>
    <n v="50"/>
    <x v="0"/>
  </r>
  <r>
    <n v="23"/>
    <n v="20"/>
    <x v="17"/>
    <n v="90"/>
    <x v="1"/>
  </r>
  <r>
    <n v="24"/>
    <n v="21"/>
    <x v="18"/>
    <n v="150"/>
    <x v="0"/>
  </r>
  <r>
    <n v="25"/>
    <n v="22"/>
    <x v="19"/>
    <n v="110"/>
    <x v="0"/>
  </r>
  <r>
    <n v="26"/>
    <n v="23"/>
    <x v="20"/>
    <n v="400"/>
    <x v="1"/>
  </r>
  <r>
    <n v="27"/>
    <n v="24"/>
    <x v="21"/>
    <n v="180"/>
    <x v="0"/>
  </r>
  <r>
    <n v="28"/>
    <n v="25"/>
    <x v="22"/>
    <n v="40"/>
    <x v="0"/>
  </r>
  <r>
    <n v="29"/>
    <n v="26"/>
    <x v="23"/>
    <n v="35"/>
    <x v="0"/>
  </r>
  <r>
    <n v="30"/>
    <n v="27"/>
    <x v="24"/>
    <n v="60"/>
    <x v="1"/>
  </r>
  <r>
    <n v="31"/>
    <n v="28"/>
    <x v="25"/>
    <n v="130"/>
    <x v="0"/>
  </r>
  <r>
    <n v="32"/>
    <n v="29"/>
    <x v="26"/>
    <n v="100"/>
    <x v="2"/>
  </r>
  <r>
    <n v="33"/>
    <n v="30"/>
    <x v="27"/>
    <n v="350"/>
    <x v="0"/>
  </r>
  <r>
    <n v="34"/>
    <n v="31"/>
    <x v="28"/>
    <n v="40"/>
    <x v="1"/>
  </r>
  <r>
    <n v="35"/>
    <n v="32"/>
    <x v="29"/>
    <n v="70"/>
    <x v="4"/>
  </r>
  <r>
    <n v="36"/>
    <n v="33"/>
    <x v="30"/>
    <n v="55"/>
    <x v="1"/>
  </r>
  <r>
    <n v="37"/>
    <n v="34"/>
    <x v="31"/>
    <n v="220"/>
    <x v="0"/>
  </r>
  <r>
    <n v="38"/>
    <n v="35"/>
    <x v="32"/>
    <n v="70"/>
    <x v="0"/>
  </r>
  <r>
    <n v="39"/>
    <n v="36"/>
    <x v="33"/>
    <n v="60"/>
    <x v="1"/>
  </r>
  <r>
    <n v="40"/>
    <n v="37"/>
    <x v="34"/>
    <n v="90"/>
    <x v="0"/>
  </r>
  <r>
    <n v="41"/>
    <n v="38"/>
    <x v="35"/>
    <n v="85"/>
    <x v="2"/>
  </r>
  <r>
    <n v="42"/>
    <n v="39"/>
    <x v="36"/>
    <n v="35"/>
    <x v="0"/>
  </r>
  <r>
    <n v="43"/>
    <n v="40"/>
    <x v="37"/>
    <n v="250"/>
    <x v="1"/>
  </r>
  <r>
    <n v="44"/>
    <n v="41"/>
    <x v="38"/>
    <n v="80"/>
    <x v="0"/>
  </r>
  <r>
    <n v="45"/>
    <n v="42"/>
    <x v="39"/>
    <n v="900"/>
    <x v="3"/>
  </r>
  <r>
    <n v="46"/>
    <n v="43"/>
    <x v="40"/>
    <n v="160"/>
    <x v="0"/>
  </r>
  <r>
    <n v="47"/>
    <n v="44"/>
    <x v="41"/>
    <n v="70"/>
    <x v="1"/>
  </r>
  <r>
    <n v="48"/>
    <n v="45"/>
    <x v="42"/>
    <n v="65"/>
    <x v="1"/>
  </r>
  <r>
    <n v="49"/>
    <n v="46"/>
    <x v="43"/>
    <n v="200"/>
    <x v="0"/>
  </r>
  <r>
    <n v="50"/>
    <n v="47"/>
    <x v="44"/>
    <n v="150"/>
    <x v="0"/>
  </r>
  <r>
    <n v="51"/>
    <n v="48"/>
    <x v="45"/>
    <n v="300"/>
    <x v="1"/>
  </r>
  <r>
    <n v="52"/>
    <n v="49"/>
    <x v="46"/>
    <n v="90"/>
    <x v="0"/>
  </r>
  <r>
    <n v="53"/>
    <n v="50"/>
    <x v="47"/>
    <n v="110"/>
    <x v="1"/>
  </r>
  <r>
    <n v="54"/>
    <n v="51"/>
    <x v="48"/>
    <n v="70"/>
    <x v="0"/>
  </r>
  <r>
    <n v="55"/>
    <n v="52"/>
    <x v="49"/>
    <n v="100"/>
    <x v="1"/>
  </r>
  <r>
    <n v="56"/>
    <n v="53"/>
    <x v="50"/>
    <n v="80"/>
    <x v="0"/>
  </r>
  <r>
    <n v="57"/>
    <n v="54"/>
    <x v="51"/>
    <n v="60"/>
    <x v="1"/>
  </r>
  <r>
    <n v="58"/>
    <n v="55"/>
    <x v="52"/>
    <n v="130"/>
    <x v="0"/>
  </r>
  <r>
    <n v="59"/>
    <n v="56"/>
    <x v="53"/>
    <n v="35"/>
    <x v="1"/>
  </r>
  <r>
    <n v="60"/>
    <n v="57"/>
    <x v="54"/>
    <n v="200"/>
    <x v="4"/>
  </r>
  <r>
    <n v="61"/>
    <n v="58"/>
    <x v="55"/>
    <n v="85"/>
    <x v="0"/>
  </r>
  <r>
    <n v="62"/>
    <n v="59"/>
    <x v="56"/>
    <n v="300"/>
    <x v="2"/>
  </r>
  <r>
    <n v="63"/>
    <n v="60"/>
    <x v="57"/>
    <n v="110"/>
    <x v="0"/>
  </r>
  <r>
    <n v="64"/>
    <n v="61"/>
    <x v="58"/>
    <n v="90"/>
    <x v="1"/>
  </r>
  <r>
    <n v="65"/>
    <n v="62"/>
    <x v="59"/>
    <n v="40"/>
    <x v="0"/>
  </r>
  <r>
    <n v="69"/>
    <n v="66"/>
    <x v="60"/>
    <n v="120"/>
    <x v="0"/>
  </r>
  <r>
    <n v="70"/>
    <n v="67"/>
    <x v="61"/>
    <n v="180"/>
    <x v="1"/>
  </r>
  <r>
    <n v="71"/>
    <n v="68"/>
    <x v="62"/>
    <n v="1200"/>
    <x v="0"/>
  </r>
  <r>
    <n v="72"/>
    <n v="69"/>
    <x v="63"/>
    <n v="65"/>
    <x v="1"/>
  </r>
  <r>
    <n v="73"/>
    <n v="70"/>
    <x v="64"/>
    <n v="60"/>
    <x v="3"/>
  </r>
  <r>
    <n v="76"/>
    <n v="73"/>
    <x v="65"/>
    <n v="40"/>
    <x v="0"/>
  </r>
  <r>
    <n v="77"/>
    <n v="74"/>
    <x v="66"/>
    <n v="50"/>
    <x v="4"/>
  </r>
  <r>
    <n v="78"/>
    <n v="75"/>
    <x v="67"/>
    <n v="100"/>
    <x v="1"/>
  </r>
  <r>
    <n v="79"/>
    <n v="76"/>
    <x v="68"/>
    <n v="40"/>
    <x v="0"/>
  </r>
  <r>
    <n v="80"/>
    <n v="77"/>
    <x v="69"/>
    <n v="110"/>
    <x v="0"/>
  </r>
  <r>
    <n v="81"/>
    <n v="78"/>
    <x v="70"/>
    <n v="60"/>
    <x v="0"/>
  </r>
  <r>
    <n v="82"/>
    <n v="14"/>
    <x v="11"/>
    <n v="80"/>
    <x v="1"/>
  </r>
  <r>
    <n v="83"/>
    <n v="20"/>
    <x v="17"/>
    <n v="100"/>
    <x v="1"/>
  </r>
  <r>
    <n v="84"/>
    <n v="22"/>
    <x v="19"/>
    <n v="110"/>
    <x v="0"/>
  </r>
  <r>
    <n v="85"/>
    <n v="30"/>
    <x v="27"/>
    <n v="40"/>
    <x v="0"/>
  </r>
  <r>
    <n v="86"/>
    <n v="34"/>
    <x v="31"/>
    <n v="70"/>
    <x v="0"/>
  </r>
  <r>
    <n v="87"/>
    <n v="36"/>
    <x v="33"/>
    <n v="90"/>
    <x v="1"/>
  </r>
  <r>
    <n v="88"/>
    <n v="42"/>
    <x v="39"/>
    <n v="40"/>
    <x v="3"/>
  </r>
  <r>
    <n v="89"/>
    <n v="43"/>
    <x v="40"/>
    <n v="110"/>
    <x v="0"/>
  </r>
  <r>
    <n v="90"/>
    <n v="46"/>
    <x v="43"/>
    <n v="80"/>
    <x v="0"/>
  </r>
  <r>
    <n v="91"/>
    <n v="48"/>
    <x v="45"/>
    <n v="60"/>
    <x v="1"/>
  </r>
  <r>
    <n v="92"/>
    <n v="50"/>
    <x v="47"/>
    <n v="70"/>
    <x v="1"/>
  </r>
  <r>
    <n v="93"/>
    <n v="54"/>
    <x v="51"/>
    <n v="100"/>
    <x v="1"/>
  </r>
  <r>
    <n v="94"/>
    <n v="58"/>
    <x v="55"/>
    <n v="80"/>
    <x v="0"/>
  </r>
  <r>
    <n v="95"/>
    <n v="60"/>
    <x v="57"/>
    <n v="50"/>
    <x v="0"/>
  </r>
  <r>
    <n v="96"/>
    <n v="62"/>
    <x v="59"/>
    <n v="50"/>
    <x v="0"/>
  </r>
  <r>
    <n v="97"/>
    <n v="66"/>
    <x v="60"/>
    <n v="100"/>
    <x v="0"/>
  </r>
  <r>
    <n v="98"/>
    <n v="68"/>
    <x v="62"/>
    <n v="50"/>
    <x v="0"/>
  </r>
  <r>
    <n v="99"/>
    <n v="70"/>
    <x v="64"/>
    <n v="50"/>
    <x v="3"/>
  </r>
  <r>
    <n v="100"/>
    <n v="74"/>
    <x v="66"/>
    <n v="60"/>
    <x v="4"/>
  </r>
  <r>
    <n v="101"/>
    <n v="77"/>
    <x v="69"/>
    <n v="70"/>
    <x v="0"/>
  </r>
  <r>
    <n v="102"/>
    <n v="15"/>
    <x v="12"/>
    <n v="70"/>
    <x v="1"/>
  </r>
  <r>
    <n v="103"/>
    <n v="28"/>
    <x v="25"/>
    <n v="50"/>
    <x v="0"/>
  </r>
  <r>
    <n v="104"/>
    <n v="29"/>
    <x v="26"/>
    <n v="60"/>
    <x v="2"/>
  </r>
  <r>
    <n v="105"/>
    <n v="35"/>
    <x v="32"/>
    <n v="45"/>
    <x v="0"/>
  </r>
  <r>
    <n v="106"/>
    <n v="16"/>
    <x v="13"/>
    <n v="100"/>
    <x v="0"/>
  </r>
  <r>
    <n v="107"/>
    <n v="21"/>
    <x v="18"/>
    <n v="50"/>
    <x v="0"/>
  </r>
  <r>
    <n v="108"/>
    <n v="37"/>
    <x v="34"/>
    <n v="60"/>
    <x v="0"/>
  </r>
  <r>
    <n v="109"/>
    <n v="41"/>
    <x v="38"/>
    <n v="30"/>
    <x v="0"/>
  </r>
  <r>
    <n v="110"/>
    <n v="44"/>
    <x v="41"/>
    <n v="50"/>
    <x v="1"/>
  </r>
  <r>
    <n v="111"/>
    <n v="45"/>
    <x v="42"/>
    <n v="100"/>
    <x v="1"/>
  </r>
  <r>
    <n v="112"/>
    <n v="47"/>
    <x v="44"/>
    <n v="65"/>
    <x v="0"/>
  </r>
  <r>
    <n v="113"/>
    <n v="53"/>
    <x v="50"/>
    <n v="75"/>
    <x v="0"/>
  </r>
  <r>
    <n v="114"/>
    <n v="55"/>
    <x v="52"/>
    <n v="65"/>
    <x v="0"/>
  </r>
  <r>
    <n v="115"/>
    <n v="57"/>
    <x v="54"/>
    <n v="80"/>
    <x v="4"/>
  </r>
  <r>
    <n v="116"/>
    <n v="59"/>
    <x v="56"/>
    <n v="80"/>
    <x v="2"/>
  </r>
  <r>
    <n v="117"/>
    <n v="61"/>
    <x v="58"/>
    <n v="60"/>
    <x v="1"/>
  </r>
  <r>
    <n v="118"/>
    <n v="1"/>
    <x v="0"/>
    <n v="95"/>
    <x v="0"/>
  </r>
  <r>
    <n v="119"/>
    <n v="2"/>
    <x v="1"/>
    <n v="60"/>
    <x v="1"/>
  </r>
  <r>
    <n v="120"/>
    <n v="3"/>
    <x v="2"/>
    <n v="60"/>
    <x v="0"/>
  </r>
  <r>
    <n v="121"/>
    <n v="4"/>
    <x v="3"/>
    <n v="60"/>
    <x v="1"/>
  </r>
  <r>
    <n v="122"/>
    <n v="6"/>
    <x v="71"/>
    <n v="40"/>
    <x v="1"/>
  </r>
  <r>
    <n v="123"/>
    <n v="7"/>
    <x v="5"/>
    <n v="60"/>
    <x v="1"/>
  </r>
  <r>
    <n v="124"/>
    <n v="8"/>
    <x v="72"/>
    <n v="55"/>
    <x v="1"/>
  </r>
  <r>
    <n v="125"/>
    <n v="9"/>
    <x v="6"/>
    <n v="40"/>
    <x v="0"/>
  </r>
  <r>
    <n v="126"/>
    <n v="11"/>
    <x v="8"/>
    <n v="160"/>
    <x v="2"/>
  </r>
  <r>
    <n v="127"/>
    <n v="12"/>
    <x v="9"/>
    <n v="35"/>
    <x v="0"/>
  </r>
  <r>
    <n v="128"/>
    <n v="17"/>
    <x v="14"/>
    <n v="65"/>
    <x v="1"/>
  </r>
  <r>
    <n v="129"/>
    <n v="18"/>
    <x v="15"/>
    <n v="40"/>
    <x v="3"/>
  </r>
  <r>
    <n v="130"/>
    <n v="19"/>
    <x v="16"/>
    <n v="55"/>
    <x v="0"/>
  </r>
  <r>
    <n v="131"/>
    <n v="23"/>
    <x v="20"/>
    <n v="85"/>
    <x v="1"/>
  </r>
  <r>
    <n v="132"/>
    <n v="24"/>
    <x v="21"/>
    <n v="35"/>
    <x v="0"/>
  </r>
  <r>
    <n v="133"/>
    <n v="26"/>
    <x v="23"/>
    <n v="230"/>
    <x v="0"/>
  </r>
  <r>
    <n v="134"/>
    <n v="31"/>
    <x v="28"/>
    <n v="100"/>
    <x v="1"/>
  </r>
  <r>
    <n v="135"/>
    <n v="32"/>
    <x v="29"/>
    <n v="90"/>
    <x v="4"/>
  </r>
  <r>
    <n v="136"/>
    <n v="33"/>
    <x v="30"/>
    <n v="90"/>
    <x v="1"/>
  </r>
  <r>
    <n v="137"/>
    <n v="38"/>
    <x v="35"/>
    <n v="120"/>
    <x v="2"/>
  </r>
  <r>
    <n v="138"/>
    <n v="39"/>
    <x v="36"/>
    <n v="85"/>
    <x v="0"/>
  </r>
  <r>
    <n v="139"/>
    <n v="40"/>
    <x v="37"/>
    <n v="75"/>
    <x v="1"/>
  </r>
  <r>
    <n v="140"/>
    <n v="46"/>
    <x v="43"/>
    <n v="55"/>
    <x v="0"/>
  </r>
  <r>
    <n v="141"/>
    <n v="49"/>
    <x v="46"/>
    <n v="60"/>
    <x v="0"/>
  </r>
  <r>
    <n v="142"/>
    <n v="52"/>
    <x v="49"/>
    <n v="50"/>
    <x v="1"/>
  </r>
  <r>
    <n v="143"/>
    <n v="56"/>
    <x v="53"/>
    <n v="55"/>
    <x v="1"/>
  </r>
  <r>
    <n v="144"/>
    <n v="62"/>
    <x v="59"/>
    <n v="160"/>
    <x v="0"/>
  </r>
  <r>
    <n v="145"/>
    <n v="63"/>
    <x v="73"/>
    <n v="70"/>
    <x v="1"/>
  </r>
  <r>
    <n v="146"/>
    <n v="64"/>
    <x v="74"/>
    <n v="50"/>
    <x v="0"/>
  </r>
  <r>
    <n v="147"/>
    <n v="65"/>
    <x v="75"/>
    <n v="60"/>
    <x v="1"/>
  </r>
  <r>
    <n v="148"/>
    <n v="67"/>
    <x v="61"/>
    <n v="100"/>
    <x v="1"/>
  </r>
  <r>
    <n v="149"/>
    <n v="69"/>
    <x v="63"/>
    <n v="55"/>
    <x v="1"/>
  </r>
  <r>
    <n v="150"/>
    <n v="73"/>
    <x v="65"/>
    <n v="90"/>
    <x v="0"/>
  </r>
  <r>
    <n v="151"/>
    <n v="74"/>
    <x v="66"/>
    <n v="80"/>
    <x v="4"/>
  </r>
  <r>
    <n v="152"/>
    <n v="75"/>
    <x v="67"/>
    <n v="65"/>
    <x v="1"/>
  </r>
  <r>
    <n v="153"/>
    <n v="76"/>
    <x v="68"/>
    <n v="50"/>
    <x v="0"/>
  </r>
  <r>
    <n v="154"/>
    <n v="78"/>
    <x v="70"/>
    <n v="12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Tabela przestawna2" cacheId="0" applyNumberFormats="0" applyBorderFormats="0" applyFontFormats="0" applyPatternFormats="0" applyAlignmentFormats="0" applyWidthHeightFormats="1" dataCaption="Wartości" updatedVersion="4" minRefreshableVersion="3" useAutoFormatting="1" itemPrintTitles="1" createdVersion="4" indent="0" outline="1" outlineData="1" multipleFieldFilters="0">
  <location ref="K4:L41" firstHeaderRow="1" firstDataRow="1" firstDataCol="1"/>
  <pivotFields count="7">
    <pivotField dataField="1" showAll="0"/>
    <pivotField axis="axisRow" showAll="0">
      <items count="7">
        <item x="3"/>
        <item x="1"/>
        <item x="5"/>
        <item x="0"/>
        <item x="4"/>
        <item x="2"/>
        <item t="default"/>
      </items>
    </pivotField>
    <pivotField axis="axisRow" showAll="0">
      <items count="7">
        <item x="1"/>
        <item x="2"/>
        <item x="4"/>
        <item x="0"/>
        <item x="5"/>
        <item x="3"/>
        <item t="default"/>
      </items>
    </pivotField>
    <pivotField axis="axisRow" showAll="0">
      <items count="7">
        <item x="4"/>
        <item x="0"/>
        <item x="1"/>
        <item x="5"/>
        <item x="2"/>
        <item x="3"/>
        <item t="default"/>
      </items>
    </pivotField>
    <pivotField axis="axisRow" showAll="0">
      <items count="7">
        <item x="2"/>
        <item x="1"/>
        <item x="5"/>
        <item x="4"/>
        <item x="3"/>
        <item x="0"/>
        <item t="default"/>
      </items>
    </pivotField>
    <pivotField axis="axisRow" showAll="0">
      <items count="7">
        <item x="0"/>
        <item x="2"/>
        <item x="5"/>
        <item x="3"/>
        <item x="4"/>
        <item x="1"/>
        <item t="default"/>
      </items>
    </pivotField>
    <pivotField axis="axisRow" showAll="0">
      <items count="7">
        <item x="3"/>
        <item x="1"/>
        <item x="5"/>
        <item x="0"/>
        <item x="4"/>
        <item x="2"/>
        <item t="default"/>
      </items>
    </pivotField>
  </pivotFields>
  <rowFields count="6">
    <field x="1"/>
    <field x="2"/>
    <field x="5"/>
    <field x="6"/>
    <field x="4"/>
    <field x="3"/>
  </rowFields>
  <rowItems count="37">
    <i>
      <x/>
    </i>
    <i r="1">
      <x v="5"/>
    </i>
    <i r="2">
      <x v="3"/>
    </i>
    <i r="3">
      <x/>
    </i>
    <i r="4">
      <x v="4"/>
    </i>
    <i r="5">
      <x v="5"/>
    </i>
    <i>
      <x v="1"/>
    </i>
    <i r="1">
      <x/>
    </i>
    <i r="2">
      <x v="5"/>
    </i>
    <i r="3">
      <x v="1"/>
    </i>
    <i r="4">
      <x v="1"/>
    </i>
    <i r="5">
      <x v="2"/>
    </i>
    <i>
      <x v="2"/>
    </i>
    <i r="1">
      <x v="4"/>
    </i>
    <i r="2">
      <x v="2"/>
    </i>
    <i r="3">
      <x v="2"/>
    </i>
    <i r="4">
      <x v="2"/>
    </i>
    <i r="5">
      <x v="3"/>
    </i>
    <i>
      <x v="3"/>
    </i>
    <i r="1">
      <x v="3"/>
    </i>
    <i r="2">
      <x/>
    </i>
    <i r="3">
      <x v="3"/>
    </i>
    <i r="4">
      <x v="5"/>
    </i>
    <i r="5">
      <x v="1"/>
    </i>
    <i>
      <x v="4"/>
    </i>
    <i r="1">
      <x v="2"/>
    </i>
    <i r="2">
      <x v="4"/>
    </i>
    <i r="3">
      <x v="4"/>
    </i>
    <i r="4">
      <x v="3"/>
    </i>
    <i r="5">
      <x/>
    </i>
    <i>
      <x v="5"/>
    </i>
    <i r="1">
      <x v="1"/>
    </i>
    <i r="2">
      <x v="1"/>
    </i>
    <i r="3">
      <x v="5"/>
    </i>
    <i r="4">
      <x/>
    </i>
    <i r="5">
      <x v="4"/>
    </i>
    <i t="grand">
      <x/>
    </i>
  </rowItems>
  <colItems count="1">
    <i/>
  </colItems>
  <dataFields count="1">
    <dataField name="Suma z vet_id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przestawna4" cacheId="11" applyNumberFormats="0" applyBorderFormats="0" applyFontFormats="0" applyPatternFormats="0" applyAlignmentFormats="0" applyWidthHeightFormats="1" dataCaption="Wartości" updatedVersion="4" minRefreshableVersion="3" useAutoFormatting="1" itemPrintTitles="1" createdVersion="4" indent="0" outline="1" outlineData="1" multipleFieldFilters="0" chartFormat="4" rowHeaderCaption="Imiona zwierząt">
  <location ref="K3:M14" firstHeaderRow="0" firstDataRow="1" firstDataCol="1" rowPageCount="1" colPageCount="1"/>
  <pivotFields count="5">
    <pivotField dataField="1" showAll="0"/>
    <pivotField showAll="0"/>
    <pivotField axis="axisRow" showAll="0" measureFilter="1" sortType="descending">
      <items count="77">
        <item x="27"/>
        <item x="9"/>
        <item x="74"/>
        <item x="30"/>
        <item x="22"/>
        <item x="46"/>
        <item x="2"/>
        <item x="49"/>
        <item x="52"/>
        <item x="25"/>
        <item x="10"/>
        <item x="58"/>
        <item x="71"/>
        <item x="20"/>
        <item x="57"/>
        <item x="69"/>
        <item x="34"/>
        <item x="53"/>
        <item x="41"/>
        <item x="18"/>
        <item x="21"/>
        <item x="16"/>
        <item x="48"/>
        <item x="61"/>
        <item x="75"/>
        <item x="45"/>
        <item x="33"/>
        <item x="66"/>
        <item x="3"/>
        <item x="4"/>
        <item x="7"/>
        <item x="65"/>
        <item x="24"/>
        <item x="14"/>
        <item x="11"/>
        <item x="6"/>
        <item x="72"/>
        <item x="63"/>
        <item x="36"/>
        <item x="55"/>
        <item x="42"/>
        <item x="35"/>
        <item x="1"/>
        <item x="70"/>
        <item x="32"/>
        <item x="73"/>
        <item x="47"/>
        <item x="8"/>
        <item x="17"/>
        <item x="64"/>
        <item x="56"/>
        <item x="62"/>
        <item x="39"/>
        <item x="5"/>
        <item x="50"/>
        <item x="44"/>
        <item x="31"/>
        <item x="0"/>
        <item x="28"/>
        <item x="68"/>
        <item x="40"/>
        <item x="38"/>
        <item x="37"/>
        <item x="15"/>
        <item x="23"/>
        <item x="67"/>
        <item x="51"/>
        <item x="12"/>
        <item x="60"/>
        <item x="54"/>
        <item x="59"/>
        <item x="19"/>
        <item x="13"/>
        <item x="29"/>
        <item x="26"/>
        <item x="4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howAll="0"/>
    <pivotField axis="axisPage" showAll="0" defaultSubtotal="0">
      <items count="5">
        <item x="2"/>
        <item x="1"/>
        <item x="3"/>
        <item x="4"/>
        <item x="0"/>
      </items>
    </pivotField>
  </pivotFields>
  <rowFields count="1">
    <field x="2"/>
  </rowFields>
  <rowItems count="11">
    <i>
      <x v="75"/>
    </i>
    <i>
      <x v="51"/>
    </i>
    <i>
      <x v="56"/>
    </i>
    <i>
      <x v="13"/>
    </i>
    <i>
      <x v="52"/>
    </i>
    <i>
      <x v="25"/>
    </i>
    <i>
      <x v="62"/>
    </i>
    <i>
      <x v="33"/>
    </i>
    <i>
      <x/>
    </i>
    <i>
      <x v="50"/>
    </i>
    <i t="grand">
      <x/>
    </i>
  </rowItems>
  <colFields count="1">
    <field x="-2"/>
  </colFields>
  <colItems count="2">
    <i>
      <x/>
    </i>
    <i i="1">
      <x v="1"/>
    </i>
  </colItems>
  <pageFields count="1">
    <pageField fld="4" hier="-1"/>
  </pageFields>
  <dataFields count="2">
    <dataField name="Całkowita suma" fld="3" baseField="0" baseItem="0"/>
    <dataField name="Ilość wizyt" fld="0" subtotal="count" baseField="2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5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przestawna3" cacheId="2" applyNumberFormats="0" applyBorderFormats="0" applyFontFormats="0" applyPatternFormats="0" applyAlignmentFormats="0" applyWidthHeightFormats="1" dataCaption="Wartości" updatedVersion="4" minRefreshableVersion="3" useAutoFormatting="1" itemPrintTitles="1" createdVersion="4" indent="0" outline="1" outlineData="1" multipleFieldFilters="0" chartFormat="4" rowHeaderCaption="Gatunki">
  <location ref="F3:H9" firstHeaderRow="0" firstDataRow="1" firstDataCol="1"/>
  <pivotFields count="4">
    <pivotField showAll="0"/>
    <pivotField axis="axisRow" showAll="0">
      <items count="6">
        <item x="2"/>
        <item x="1"/>
        <item x="3"/>
        <item x="4"/>
        <item x="0"/>
        <item t="default"/>
      </items>
    </pivotField>
    <pivotField dataField="1" showAll="0"/>
    <pivotField showAll="0" defaultSubtotal="0">
      <items count="76">
        <item x="0"/>
        <item x="1"/>
        <item x="2"/>
        <item x="3"/>
        <item x="4"/>
        <item x="71"/>
        <item x="5"/>
        <item x="72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73"/>
        <item x="74"/>
        <item x="75"/>
        <item x="60"/>
        <item x="61"/>
        <item x="62"/>
        <item x="63"/>
        <item x="64"/>
        <item x="65"/>
        <item x="66"/>
        <item x="67"/>
        <item x="68"/>
        <item x="69"/>
        <item x="70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Średnia kosztu zabiegu" fld="2" subtotal="average" baseField="1" baseItem="0"/>
    <dataField name="Suma z cost" fld="2" baseField="0" baseItem="0" numFmtId="165"/>
  </dataFields>
  <formats count="2">
    <format dxfId="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7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ela przestawna2" cacheId="1" applyNumberFormats="0" applyBorderFormats="0" applyFontFormats="0" applyPatternFormats="0" applyAlignmentFormats="0" applyWidthHeightFormats="1" dataCaption="Wartości" updatedVersion="4" minRefreshableVersion="3" useAutoFormatting="1" itemPrintTitles="1" createdVersion="4" indent="0" outline="1" outlineData="1" multipleFieldFilters="0" chartFormat="5" rowHeaderCaption="Lekarz">
  <location ref="A3:D10" firstHeaderRow="0" firstDataRow="1" firstDataCol="1"/>
  <pivotFields count="4">
    <pivotField dataField="1" showAll="0"/>
    <pivotField showAll="0"/>
    <pivotField axis="axisRow" showAll="0" sortType="descending">
      <items count="7">
        <item x="4"/>
        <item x="1"/>
        <item x="5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2"/>
  </rowFields>
  <rowItems count="7">
    <i>
      <x v="3"/>
    </i>
    <i>
      <x v="4"/>
    </i>
    <i>
      <x v="5"/>
    </i>
    <i>
      <x v="1"/>
    </i>
    <i>
      <x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Wizyty" fld="0" subtotal="count" baseField="2" baseItem="0"/>
    <dataField name="Całkowita suma zabiegów" fld="3" baseField="2" baseItem="0" numFmtId="164"/>
    <dataField name="Średni koszt zabiegu" fld="3" subtotal="average" baseField="2" baseItem="0" numFmtId="164"/>
  </dataFields>
  <formats count="3">
    <format dxfId="19">
      <pivotArea collapsedLevelsAreSubtotals="1" fieldPosition="0">
        <references count="2">
          <reference field="4294967294" count="1" selected="0">
            <x v="1"/>
          </reference>
          <reference field="2" count="0"/>
        </references>
      </pivotArea>
    </format>
    <format dxfId="1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2"/>
          </reference>
          <reference field="2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</chart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abela przestawna5" cacheId="3" applyNumberFormats="0" applyBorderFormats="0" applyFontFormats="0" applyPatternFormats="0" applyAlignmentFormats="0" applyWidthHeightFormats="1" dataCaption="Wartości" updatedVersion="4" minRefreshableVersion="3" useAutoFormatting="1" itemPrintTitles="1" createdVersion="4" indent="0" outline="1" outlineData="1" multipleFieldFilters="0" chartFormat="2" rowHeaderCaption="Kategoria leczenia">
  <location ref="O3:Q14" firstHeaderRow="0" firstDataRow="1" firstDataCol="1"/>
  <pivotFields count="8">
    <pivotField dataField="1" showAll="0"/>
    <pivotField showAll="0"/>
    <pivotField showAll="0"/>
    <pivotField showAll="0"/>
    <pivotField showAll="0"/>
    <pivotField showAll="0"/>
    <pivotField dataField="1" showAll="0"/>
    <pivotField axis="axisRow" showAll="0">
      <items count="11">
        <item x="6"/>
        <item x="4"/>
        <item x="1"/>
        <item x="5"/>
        <item x="9"/>
        <item x="7"/>
        <item x="2"/>
        <item x="8"/>
        <item x="3"/>
        <item x="0"/>
        <item t="default"/>
      </items>
    </pivotField>
  </pivotFields>
  <rowFields count="1">
    <field x="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Ilość" fld="0" subtotal="count" baseField="7" baseItem="0"/>
    <dataField name="Całkowita suma" fld="6" baseField="0" baseItem="0" numFmtId="165"/>
  </dataFields>
  <formats count="3">
    <format dxfId="5">
      <pivotArea field="7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9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1"/>
          </reference>
          <reference field="7" count="1" selected="0">
            <x v="9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1"/>
          </reference>
          <reference field="7" count="1" selected="0">
            <x v="6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1"/>
          </reference>
          <reference field="7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1"/>
          </reference>
          <reference field="7" count="1" selected="0">
            <x v="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1"/>
          </reference>
          <reference field="7" count="1" selected="0">
            <x v="0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7" count="1" selected="0">
            <x v="4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1"/>
          </reference>
          <reference field="7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LAPTOP-RGFJNK82 Klinika Owners" connectionId="2" autoFormatId="16" applyNumberFormats="0" applyBorderFormats="0" applyFontFormats="0" applyPatternFormats="0" applyAlignmentFormats="0" applyWidthHeightFormats="0">
  <queryTableRefresh nextId="9">
    <queryTableFields count="8">
      <queryTableField id="1" name="owner_id" tableColumnId="1"/>
      <queryTableField id="2" name="first_name" tableColumnId="2"/>
      <queryTableField id="3" name="last_name" tableColumnId="3"/>
      <queryTableField id="4" name="phone" tableColumnId="4"/>
      <queryTableField id="5" name="email" tableColumnId="5"/>
      <queryTableField id="6" name="city" tableColumnId="6"/>
      <queryTableField id="7" name="street" tableColumnId="7"/>
      <queryTableField id="8" name="postal_code" tableColumnId="8"/>
    </queryTableFields>
  </queryTableRefresh>
</queryTable>
</file>

<file path=xl/queryTables/queryTable2.xml><?xml version="1.0" encoding="utf-8"?>
<queryTable xmlns="http://schemas.openxmlformats.org/spreadsheetml/2006/main" name="LAPTOP-RGFJNK82 Klinika" connectionId="1" autoFormatId="16" applyNumberFormats="0" applyBorderFormats="0" applyFontFormats="0" applyPatternFormats="0" applyAlignmentFormats="0" applyWidthHeightFormats="0">
  <queryTableRefresh nextId="9">
    <queryTableFields count="8">
      <queryTableField id="1" name="animal_id" tableColumnId="1"/>
      <queryTableField id="2" name="name" tableColumnId="2"/>
      <queryTableField id="3" name="species" tableColumnId="3"/>
      <queryTableField id="4" name="breed" tableColumnId="4"/>
      <queryTableField id="5" name="birth_date" tableColumnId="5"/>
      <queryTableField id="6" name="weight" tableColumnId="6"/>
      <queryTableField id="7" name="gender" tableColumnId="7"/>
      <queryTableField id="8" name="owner_id" tableColumnId="8"/>
    </queryTableFields>
  </queryTableRefresh>
</queryTable>
</file>

<file path=xl/queryTables/queryTable3.xml><?xml version="1.0" encoding="utf-8"?>
<queryTable xmlns="http://schemas.openxmlformats.org/spreadsheetml/2006/main" name="LAPTOP-RGFJNK82 Klinika Vets" connectionId="5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vet_id" tableColumnId="1"/>
      <queryTableField id="2" name="first_name" tableColumnId="2"/>
      <queryTableField id="3" name="last_name" tableColumnId="3"/>
      <queryTableField id="4" name="specialization" tableColumnId="4"/>
      <queryTableField id="5" name="phone" tableColumnId="5"/>
      <queryTableField id="6" name="hire_date" tableColumnId="6"/>
      <queryTableField id="7" dataBound="0" tableColumnId="7"/>
    </queryTableFields>
  </queryTableRefresh>
</queryTable>
</file>

<file path=xl/queryTables/queryTable4.xml><?xml version="1.0" encoding="utf-8"?>
<queryTable xmlns="http://schemas.openxmlformats.org/spreadsheetml/2006/main" name="LAPTOP-RGFJNK82 Klinika Visits" connectionId="6" autoFormatId="16" applyNumberFormats="0" applyBorderFormats="0" applyFontFormats="0" applyPatternFormats="0" applyAlignmentFormats="0" applyWidthHeightFormats="0">
  <queryTableRefresh nextId="9" unboundColumnsRight="1">
    <queryTableFields count="8">
      <queryTableField id="1" name="visit_id" tableColumnId="1"/>
      <queryTableField id="2" name="animal_id" tableColumnId="2"/>
      <queryTableField id="3" name="vet_id" tableColumnId="3"/>
      <queryTableField id="4" name="visit_date" tableColumnId="4"/>
      <queryTableField id="5" name="reason" tableColumnId="5"/>
      <queryTableField id="6" name="notes" tableColumnId="6"/>
      <queryTableField id="7" name="status" tableColumnId="7"/>
      <queryTableField id="8" dataBound="0" tableColumnId="8"/>
    </queryTableFields>
  </queryTableRefresh>
</queryTable>
</file>

<file path=xl/queryTables/queryTable5.xml><?xml version="1.0" encoding="utf-8"?>
<queryTable xmlns="http://schemas.openxmlformats.org/spreadsheetml/2006/main" name="LAPTOP-RGFJNK82 Klinika Treatments" connectionId="4" autoFormatId="16" applyNumberFormats="0" applyBorderFormats="0" applyFontFormats="0" applyPatternFormats="0" applyAlignmentFormats="0" applyWidthHeightFormats="0">
  <queryTableRefresh nextId="9" unboundColumnsRight="1">
    <queryTableFields count="8">
      <queryTableField id="1" name="treatment_id" tableColumnId="1"/>
      <queryTableField id="2" name="visit_id" tableColumnId="2"/>
      <queryTableField id="3" name="name" tableColumnId="3"/>
      <queryTableField id="4" name="description" tableColumnId="4"/>
      <queryTableField id="5" name="notes" tableColumnId="5"/>
      <queryTableField id="6" name="duration" tableColumnId="6"/>
      <queryTableField id="7" name="cost" tableColumnId="7"/>
      <queryTableField id="8" dataBound="0" tableColumnId="8"/>
    </queryTableFields>
  </queryTableRefresh>
</queryTable>
</file>

<file path=xl/queryTables/queryTable6.xml><?xml version="1.0" encoding="utf-8"?>
<queryTable xmlns="http://schemas.openxmlformats.org/spreadsheetml/2006/main" name="LAPTOP-RGFJNK82 Klinika Prescriptions" connectionId="3" autoFormatId="16" applyNumberFormats="0" applyBorderFormats="0" applyFontFormats="0" applyPatternFormats="0" applyAlignmentFormats="0" applyWidthHeightFormats="0">
  <queryTableRefresh nextId="7">
    <queryTableFields count="6">
      <queryTableField id="1" name="prescription_id" tableColumnId="1"/>
      <queryTableField id="2" name="treatment_id" tableColumnId="2"/>
      <queryTableField id="3" name="medicine_name" tableColumnId="3"/>
      <queryTableField id="4" name="dosage" tableColumnId="4"/>
      <queryTableField id="5" name="duration_days" tableColumnId="5"/>
      <queryTableField id="6" name="note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id="1" name="Owners" displayName="Owners" ref="A1:H31" tableType="queryTable" totalsRowShown="0">
  <autoFilter ref="A1:H31"/>
  <tableColumns count="8">
    <tableColumn id="1" uniqueName="1" name="owner_id" queryTableFieldId="1"/>
    <tableColumn id="2" uniqueName="2" name="first_name" queryTableFieldId="2"/>
    <tableColumn id="3" uniqueName="3" name="last_name" queryTableFieldId="3"/>
    <tableColumn id="4" uniqueName="4" name="phone" queryTableFieldId="4"/>
    <tableColumn id="5" uniqueName="5" name="email" queryTableFieldId="5"/>
    <tableColumn id="6" uniqueName="6" name="city" queryTableFieldId="6"/>
    <tableColumn id="7" uniqueName="7" name="street" queryTableFieldId="7"/>
    <tableColumn id="8" uniqueName="8" name="postal_code" queryTableField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Pets" displayName="Pets" ref="A1:H79" tableType="queryTable" totalsRowShown="0">
  <autoFilter ref="A1:H79"/>
  <tableColumns count="8">
    <tableColumn id="1" uniqueName="1" name="animal_id" queryTableFieldId="1"/>
    <tableColumn id="2" uniqueName="2" name="name" queryTableFieldId="2"/>
    <tableColumn id="3" uniqueName="3" name="species" queryTableFieldId="3"/>
    <tableColumn id="4" uniqueName="4" name="breed" queryTableFieldId="4"/>
    <tableColumn id="5" uniqueName="5" name="birth_date" queryTableFieldId="5"/>
    <tableColumn id="6" uniqueName="6" name="weight" queryTableFieldId="6"/>
    <tableColumn id="7" uniqueName="7" name="gender" queryTableFieldId="7"/>
    <tableColumn id="8" uniqueName="8" name="owner_id" queryTableField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5" name="Vets" displayName="Vets" ref="A1:G7" tableType="queryTable" totalsRowShown="0">
  <autoFilter ref="A1:G7"/>
  <tableColumns count="7">
    <tableColumn id="1" uniqueName="1" name="vet_id" queryTableFieldId="1"/>
    <tableColumn id="2" uniqueName="2" name="first_name" queryTableFieldId="2"/>
    <tableColumn id="3" uniqueName="3" name="last_name" queryTableFieldId="3"/>
    <tableColumn id="4" uniqueName="4" name="specialization" queryTableFieldId="4"/>
    <tableColumn id="5" uniqueName="5" name="phone" queryTableFieldId="5"/>
    <tableColumn id="6" uniqueName="6" name="hire_date" queryTableFieldId="6"/>
    <tableColumn id="7" uniqueName="7" name="FullName" queryTableFieldId="7" dataDxfId="22">
      <calculatedColumnFormula xml:space="preserve"> Vets[[#This Row],[first_name]] &amp; " " &amp; Vets[[#This Row],[last_name]]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6" name="Visits" displayName="Visits" ref="A1:H187" tableType="queryTable" totalsRowShown="0">
  <autoFilter ref="A1:H187">
    <filterColumn colId="7">
      <filters>
        <filter val="TAK"/>
      </filters>
    </filterColumn>
  </autoFilter>
  <tableColumns count="8">
    <tableColumn id="1" uniqueName="1" name="visit_id" queryTableFieldId="1"/>
    <tableColumn id="2" uniqueName="2" name="animal_id" queryTableFieldId="2"/>
    <tableColumn id="3" uniqueName="3" name="vet_id" queryTableFieldId="3"/>
    <tableColumn id="4" uniqueName="4" name="visit_date" queryTableFieldId="4" dataDxfId="21"/>
    <tableColumn id="5" uniqueName="5" name="reason" queryTableFieldId="5"/>
    <tableColumn id="6" uniqueName="6" name="notes" queryTableFieldId="6"/>
    <tableColumn id="7" uniqueName="7" name="status" queryTableFieldId="7"/>
    <tableColumn id="8" uniqueName="8" name="is_visit" queryTableFieldId="8" dataDxfId="20">
      <calculatedColumnFormula>IF(AND(B2&lt;&gt;"",G2="zakończona"),"TAK","NIE")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7" name="Treatments" displayName="Treatments" ref="A1:H148" tableType="queryTable" totalsRowShown="0">
  <autoFilter ref="A1:H148"/>
  <tableColumns count="8">
    <tableColumn id="1" uniqueName="1" name="treatment_id" queryTableFieldId="1"/>
    <tableColumn id="2" uniqueName="2" name="visit_id" queryTableFieldId="2"/>
    <tableColumn id="3" uniqueName="3" name="name" queryTableFieldId="3"/>
    <tableColumn id="4" uniqueName="4" name="description" queryTableFieldId="4"/>
    <tableColumn id="5" uniqueName="5" name="notes" queryTableFieldId="5"/>
    <tableColumn id="6" uniqueName="6" name="duration" queryTableFieldId="6"/>
    <tableColumn id="7" uniqueName="7" name="cost" queryTableFieldId="7"/>
    <tableColumn id="8" uniqueName="8" name="treatmentCategory" queryTableFieldId="8" dataDxfId="16">
      <calculatedColumnFormula xml:space="preserve"> IF(ISNUMBER(FIND("szczep",C2)),"Szczepienie",
IF(ISNUMBER(FIND("kardio",C2)),"Kardiologia",
IF(ISNUMBER(FIND("ortoped",C2)),"Ortopedia",
IF(ISNUMBER(FIND("uraz",C2)),"Ortopedia",
IF(ISNUMBER(FIND("dermat",C2)),"Dermatologia",
IF(ISNUMBER(FIND("chirurg",C2)),"Chirurgia",
IF(ISNUMBER(FIND("operac",C2)),"Chirurgia",
IF(ISNUMBER(FIND("diagnost",C2)),"Diagnostyka",
IF(ISNUMBER(FIND("odrobacz",C2)),"Odrobaczanie",
IF(ISNUMBER(FIND("kontrola",C2)),"Kontrola",
IF(ISNUMBER(FIND("alergia",C2)),"Dermatologia",
IF(ISNUMBER(FIND("dieta",C2)),"Dieta",
"Badanie ogólne"))))))))))))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8" name="Prescriptions" displayName="Prescriptions" ref="A1:F61" tableType="queryTable" totalsRowShown="0">
  <autoFilter ref="A1:F61"/>
  <tableColumns count="6">
    <tableColumn id="1" uniqueName="1" name="prescription_id" queryTableFieldId="1"/>
    <tableColumn id="2" uniqueName="2" name="treatment_id" queryTableFieldId="2"/>
    <tableColumn id="3" uniqueName="3" name="medicine_name" queryTableFieldId="3"/>
    <tableColumn id="4" uniqueName="4" name="dosage" queryTableFieldId="4"/>
    <tableColumn id="5" uniqueName="5" name="duration_days" queryTableFieldId="5"/>
    <tableColumn id="6" uniqueName="6" name="notes" queryTableFieldId="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13" name="Tabela13" displayName="Tabela13" ref="A2:B9" totalsRowShown="0" headerRowDxfId="13">
  <autoFilter ref="A2:B9"/>
  <tableColumns count="2">
    <tableColumn id="1" name="Metryka" dataDxfId="12"/>
    <tableColumn id="3" name="Wartość" dataDxfId="1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2" name="Tabela2" displayName="Tabela2" ref="A1:D148" totalsRowShown="0">
  <autoFilter ref="A1:D148"/>
  <tableColumns count="4">
    <tableColumn id="1" name="visit_id"/>
    <tableColumn id="2" name="vet_id"/>
    <tableColumn id="3" name="FullName">
      <calculatedColumnFormula>VLOOKUP(B2,Vets!A:G,7,FALSE)</calculatedColumnFormula>
    </tableColumn>
    <tableColumn id="4" name="cost" dataDxfId="15">
      <calculatedColumnFormula>VLOOKUP(E2,Treatments!A:G,7,FALSE)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3" name="Tabela3" displayName="Tabela3" ref="E1:E148" totalsRowShown="0">
  <autoFilter ref="E1:E148"/>
  <tableColumns count="1">
    <tableColumn id="1" name="treatment_id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1" name="Tabela11" displayName="Tabela11" ref="H1:J148" totalsRowShown="0">
  <autoFilter ref="H1:J148"/>
  <tableColumns count="3">
    <tableColumn id="1" name="visit_id" dataDxfId="14"/>
    <tableColumn id="2" name="species">
      <calculatedColumnFormula>VLOOKUP(VLOOKUP(H2,Visits!A:B,2,FALSE),Pets!A:C,3,FALSE)</calculatedColumnFormula>
    </tableColumn>
    <tableColumn id="3" name="cost">
      <calculatedColumnFormula>VLOOKUP(H2,Treatments!B:G,6,FALSE)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2" name="Tabela12" displayName="Tabela12" ref="L2:P149" totalsRowShown="0">
  <autoFilter ref="L2:P149"/>
  <tableColumns count="5">
    <tableColumn id="1" name="visit_id"/>
    <tableColumn id="2" name="animal_id"/>
    <tableColumn id="3" name="petName">
      <calculatedColumnFormula>VLOOKUP(M3,Pets!A:B,2,FALSE)</calculatedColumnFormula>
    </tableColumn>
    <tableColumn id="4" name="cost">
      <calculatedColumnFormula>IFERROR(VLOOKUP(L3,Treatments!B:G,6,FALSE),0)</calculatedColumnFormula>
    </tableColumn>
    <tableColumn id="5" name="species" dataDxfId="10">
      <calculatedColumnFormula>VLOOKUP(M3,Pets!A:C,3,FALSE)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2.vml"/><Relationship Id="rId6" Type="http://schemas.openxmlformats.org/officeDocument/2006/relationships/comments" Target="../comments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>
      <selection activeCell="B18" sqref="B18"/>
    </sheetView>
  </sheetViews>
  <sheetFormatPr defaultRowHeight="14.4" x14ac:dyDescent="0.3"/>
  <cols>
    <col min="1" max="1" width="11.109375" bestFit="1" customWidth="1"/>
    <col min="2" max="2" width="12.21875" bestFit="1" customWidth="1"/>
    <col min="3" max="3" width="12" bestFit="1" customWidth="1"/>
    <col min="4" max="4" width="10" bestFit="1" customWidth="1"/>
    <col min="5" max="5" width="21.44140625" bestFit="1" customWidth="1"/>
    <col min="6" max="6" width="11.33203125" bestFit="1" customWidth="1"/>
    <col min="7" max="7" width="26.5546875" bestFit="1" customWidth="1"/>
    <col min="8" max="8" width="13.441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3">
      <c r="A3">
        <v>2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3">
      <c r="A4">
        <v>3</v>
      </c>
      <c r="B4" t="s">
        <v>22</v>
      </c>
      <c r="C4" t="s">
        <v>23</v>
      </c>
      <c r="D4" t="s">
        <v>24</v>
      </c>
      <c r="F4" t="s">
        <v>12</v>
      </c>
      <c r="G4" t="s">
        <v>25</v>
      </c>
      <c r="H4" t="s">
        <v>26</v>
      </c>
    </row>
    <row r="5" spans="1:8" x14ac:dyDescent="0.3">
      <c r="A5">
        <v>4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</row>
    <row r="6" spans="1:8" x14ac:dyDescent="0.3">
      <c r="A6">
        <v>5</v>
      </c>
      <c r="B6" t="s">
        <v>34</v>
      </c>
      <c r="C6" t="s">
        <v>35</v>
      </c>
      <c r="D6" t="s">
        <v>36</v>
      </c>
      <c r="E6" t="s">
        <v>37</v>
      </c>
      <c r="F6" t="s">
        <v>12</v>
      </c>
      <c r="G6" t="s">
        <v>38</v>
      </c>
      <c r="H6" t="s">
        <v>39</v>
      </c>
    </row>
    <row r="7" spans="1:8" x14ac:dyDescent="0.3">
      <c r="A7">
        <v>6</v>
      </c>
      <c r="B7" t="s">
        <v>40</v>
      </c>
      <c r="C7" t="s">
        <v>41</v>
      </c>
      <c r="D7" t="s">
        <v>42</v>
      </c>
      <c r="F7" t="s">
        <v>12</v>
      </c>
      <c r="G7" t="s">
        <v>43</v>
      </c>
      <c r="H7" t="s">
        <v>44</v>
      </c>
    </row>
    <row r="8" spans="1:8" x14ac:dyDescent="0.3">
      <c r="A8">
        <v>7</v>
      </c>
      <c r="B8" t="s">
        <v>45</v>
      </c>
      <c r="C8" t="s">
        <v>46</v>
      </c>
      <c r="D8" t="s">
        <v>47</v>
      </c>
      <c r="E8" t="s">
        <v>48</v>
      </c>
      <c r="F8" t="s">
        <v>19</v>
      </c>
      <c r="G8" t="s">
        <v>49</v>
      </c>
      <c r="H8" t="s">
        <v>50</v>
      </c>
    </row>
    <row r="9" spans="1:8" x14ac:dyDescent="0.3">
      <c r="A9">
        <v>8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 t="s">
        <v>56</v>
      </c>
      <c r="H9" t="s">
        <v>57</v>
      </c>
    </row>
    <row r="10" spans="1:8" x14ac:dyDescent="0.3">
      <c r="A10">
        <v>9</v>
      </c>
      <c r="B10" t="s">
        <v>58</v>
      </c>
      <c r="C10" t="s">
        <v>59</v>
      </c>
      <c r="D10" t="s">
        <v>60</v>
      </c>
      <c r="F10" t="s">
        <v>12</v>
      </c>
      <c r="G10" t="s">
        <v>61</v>
      </c>
      <c r="H10" t="s">
        <v>62</v>
      </c>
    </row>
    <row r="11" spans="1:8" x14ac:dyDescent="0.3">
      <c r="A11">
        <v>10</v>
      </c>
      <c r="B11" t="s">
        <v>63</v>
      </c>
      <c r="C11" t="s">
        <v>64</v>
      </c>
      <c r="D11" t="s">
        <v>65</v>
      </c>
      <c r="F11" t="s">
        <v>66</v>
      </c>
      <c r="G11" t="s">
        <v>67</v>
      </c>
      <c r="H11" t="s">
        <v>68</v>
      </c>
    </row>
    <row r="12" spans="1:8" x14ac:dyDescent="0.3">
      <c r="A12">
        <v>11</v>
      </c>
      <c r="B12" t="s">
        <v>69</v>
      </c>
      <c r="C12" t="s">
        <v>70</v>
      </c>
      <c r="D12" t="s">
        <v>71</v>
      </c>
      <c r="E12" t="s">
        <v>72</v>
      </c>
      <c r="F12" t="s">
        <v>12</v>
      </c>
      <c r="G12" t="s">
        <v>73</v>
      </c>
      <c r="H12" t="s">
        <v>74</v>
      </c>
    </row>
    <row r="13" spans="1:8" x14ac:dyDescent="0.3">
      <c r="A13">
        <v>12</v>
      </c>
      <c r="B13" t="s">
        <v>75</v>
      </c>
      <c r="C13" t="s">
        <v>76</v>
      </c>
      <c r="D13" t="s">
        <v>77</v>
      </c>
      <c r="F13" t="s">
        <v>78</v>
      </c>
      <c r="G13" t="s">
        <v>79</v>
      </c>
      <c r="H13" t="s">
        <v>80</v>
      </c>
    </row>
    <row r="14" spans="1:8" x14ac:dyDescent="0.3">
      <c r="A14">
        <v>13</v>
      </c>
      <c r="B14" t="s">
        <v>81</v>
      </c>
      <c r="C14" t="s">
        <v>82</v>
      </c>
      <c r="D14" t="s">
        <v>83</v>
      </c>
      <c r="E14" t="s">
        <v>84</v>
      </c>
      <c r="F14" t="s">
        <v>12</v>
      </c>
      <c r="G14" t="s">
        <v>85</v>
      </c>
      <c r="H14" t="s">
        <v>86</v>
      </c>
    </row>
    <row r="15" spans="1:8" x14ac:dyDescent="0.3">
      <c r="A15">
        <v>14</v>
      </c>
      <c r="B15" t="s">
        <v>87</v>
      </c>
      <c r="C15" t="s">
        <v>88</v>
      </c>
      <c r="D15" t="s">
        <v>89</v>
      </c>
      <c r="E15" t="s">
        <v>90</v>
      </c>
      <c r="F15" t="s">
        <v>91</v>
      </c>
      <c r="G15" t="s">
        <v>92</v>
      </c>
      <c r="H15" t="s">
        <v>93</v>
      </c>
    </row>
    <row r="16" spans="1:8" x14ac:dyDescent="0.3">
      <c r="A16">
        <v>15</v>
      </c>
      <c r="B16" t="s">
        <v>94</v>
      </c>
      <c r="C16" t="s">
        <v>95</v>
      </c>
      <c r="D16" t="s">
        <v>96</v>
      </c>
      <c r="E16" t="s">
        <v>97</v>
      </c>
      <c r="F16" t="s">
        <v>12</v>
      </c>
      <c r="G16" t="s">
        <v>98</v>
      </c>
      <c r="H16" t="s">
        <v>99</v>
      </c>
    </row>
    <row r="17" spans="1:8" x14ac:dyDescent="0.3">
      <c r="A17">
        <v>16</v>
      </c>
      <c r="B17" t="s">
        <v>100</v>
      </c>
      <c r="C17" t="s">
        <v>101</v>
      </c>
      <c r="D17" t="s">
        <v>102</v>
      </c>
      <c r="F17" t="s">
        <v>103</v>
      </c>
      <c r="G17" t="s">
        <v>104</v>
      </c>
      <c r="H17" t="s">
        <v>105</v>
      </c>
    </row>
    <row r="18" spans="1:8" x14ac:dyDescent="0.3">
      <c r="A18">
        <v>17</v>
      </c>
      <c r="B18" t="s">
        <v>106</v>
      </c>
      <c r="C18" t="s">
        <v>107</v>
      </c>
      <c r="D18" t="s">
        <v>108</v>
      </c>
      <c r="E18" t="s">
        <v>109</v>
      </c>
      <c r="F18" t="s">
        <v>12</v>
      </c>
      <c r="G18" t="s">
        <v>110</v>
      </c>
      <c r="H18" t="s">
        <v>111</v>
      </c>
    </row>
    <row r="19" spans="1:8" x14ac:dyDescent="0.3">
      <c r="A19">
        <v>18</v>
      </c>
      <c r="B19" t="s">
        <v>112</v>
      </c>
      <c r="C19" t="s">
        <v>113</v>
      </c>
      <c r="D19" t="s">
        <v>114</v>
      </c>
      <c r="E19" t="s">
        <v>115</v>
      </c>
      <c r="F19" t="s">
        <v>31</v>
      </c>
      <c r="G19" t="s">
        <v>116</v>
      </c>
      <c r="H19" t="s">
        <v>33</v>
      </c>
    </row>
    <row r="20" spans="1:8" x14ac:dyDescent="0.3">
      <c r="A20">
        <v>19</v>
      </c>
      <c r="B20" t="s">
        <v>117</v>
      </c>
      <c r="C20" t="s">
        <v>118</v>
      </c>
      <c r="D20" t="s">
        <v>119</v>
      </c>
      <c r="E20" t="s">
        <v>120</v>
      </c>
      <c r="F20" t="s">
        <v>12</v>
      </c>
      <c r="G20" t="s">
        <v>121</v>
      </c>
      <c r="H20" t="s">
        <v>122</v>
      </c>
    </row>
    <row r="21" spans="1:8" x14ac:dyDescent="0.3">
      <c r="A21">
        <v>20</v>
      </c>
      <c r="B21" t="s">
        <v>123</v>
      </c>
      <c r="C21" t="s">
        <v>124</v>
      </c>
      <c r="D21" t="s">
        <v>125</v>
      </c>
      <c r="F21" t="s">
        <v>126</v>
      </c>
      <c r="G21" t="s">
        <v>127</v>
      </c>
      <c r="H21" t="s">
        <v>128</v>
      </c>
    </row>
    <row r="22" spans="1:8" x14ac:dyDescent="0.3">
      <c r="A22">
        <v>21</v>
      </c>
      <c r="B22" t="s">
        <v>129</v>
      </c>
      <c r="C22" t="s">
        <v>130</v>
      </c>
      <c r="D22" t="s">
        <v>131</v>
      </c>
      <c r="E22" t="s">
        <v>132</v>
      </c>
      <c r="F22" t="s">
        <v>12</v>
      </c>
      <c r="G22" t="s">
        <v>133</v>
      </c>
      <c r="H22" t="s">
        <v>134</v>
      </c>
    </row>
    <row r="23" spans="1:8" x14ac:dyDescent="0.3">
      <c r="A23">
        <v>22</v>
      </c>
      <c r="B23" t="s">
        <v>135</v>
      </c>
      <c r="C23" t="s">
        <v>136</v>
      </c>
      <c r="D23" t="s">
        <v>137</v>
      </c>
      <c r="E23" t="s">
        <v>138</v>
      </c>
      <c r="F23" t="s">
        <v>78</v>
      </c>
      <c r="G23" t="s">
        <v>139</v>
      </c>
      <c r="H23" t="s">
        <v>80</v>
      </c>
    </row>
    <row r="24" spans="1:8" x14ac:dyDescent="0.3">
      <c r="A24">
        <v>23</v>
      </c>
      <c r="B24" t="s">
        <v>140</v>
      </c>
      <c r="C24" t="s">
        <v>141</v>
      </c>
      <c r="D24" t="s">
        <v>142</v>
      </c>
      <c r="F24" t="s">
        <v>12</v>
      </c>
      <c r="G24" t="s">
        <v>143</v>
      </c>
      <c r="H24" t="s">
        <v>144</v>
      </c>
    </row>
    <row r="25" spans="1:8" x14ac:dyDescent="0.3">
      <c r="A25">
        <v>24</v>
      </c>
      <c r="B25" t="s">
        <v>145</v>
      </c>
      <c r="C25" t="s">
        <v>146</v>
      </c>
      <c r="D25" t="s">
        <v>147</v>
      </c>
      <c r="E25" t="s">
        <v>148</v>
      </c>
      <c r="F25" t="s">
        <v>149</v>
      </c>
      <c r="G25" t="s">
        <v>150</v>
      </c>
      <c r="H25" t="s">
        <v>151</v>
      </c>
    </row>
    <row r="26" spans="1:8" x14ac:dyDescent="0.3">
      <c r="A26">
        <v>25</v>
      </c>
      <c r="B26" t="s">
        <v>152</v>
      </c>
      <c r="C26" t="s">
        <v>153</v>
      </c>
      <c r="D26" t="s">
        <v>154</v>
      </c>
      <c r="E26" t="s">
        <v>155</v>
      </c>
      <c r="F26" t="s">
        <v>12</v>
      </c>
      <c r="G26" t="s">
        <v>156</v>
      </c>
      <c r="H26" t="s">
        <v>157</v>
      </c>
    </row>
    <row r="27" spans="1:8" x14ac:dyDescent="0.3">
      <c r="A27">
        <v>26</v>
      </c>
      <c r="B27" t="s">
        <v>158</v>
      </c>
      <c r="C27" t="s">
        <v>159</v>
      </c>
      <c r="D27" t="s">
        <v>160</v>
      </c>
      <c r="F27" t="s">
        <v>161</v>
      </c>
      <c r="G27" t="s">
        <v>162</v>
      </c>
      <c r="H27" t="s">
        <v>163</v>
      </c>
    </row>
    <row r="28" spans="1:8" x14ac:dyDescent="0.3">
      <c r="A28">
        <v>27</v>
      </c>
      <c r="B28" t="s">
        <v>164</v>
      </c>
      <c r="C28" t="s">
        <v>165</v>
      </c>
      <c r="D28" t="s">
        <v>166</v>
      </c>
      <c r="E28" t="s">
        <v>167</v>
      </c>
      <c r="F28" t="s">
        <v>12</v>
      </c>
      <c r="G28" t="s">
        <v>168</v>
      </c>
      <c r="H28" t="s">
        <v>169</v>
      </c>
    </row>
    <row r="29" spans="1:8" x14ac:dyDescent="0.3">
      <c r="A29">
        <v>28</v>
      </c>
      <c r="B29" t="s">
        <v>170</v>
      </c>
      <c r="C29" t="s">
        <v>171</v>
      </c>
      <c r="D29" t="s">
        <v>172</v>
      </c>
      <c r="E29" t="s">
        <v>173</v>
      </c>
      <c r="F29" t="s">
        <v>174</v>
      </c>
      <c r="G29" t="s">
        <v>175</v>
      </c>
      <c r="H29" t="s">
        <v>176</v>
      </c>
    </row>
    <row r="30" spans="1:8" x14ac:dyDescent="0.3">
      <c r="A30">
        <v>29</v>
      </c>
      <c r="B30" t="s">
        <v>177</v>
      </c>
      <c r="C30" t="s">
        <v>178</v>
      </c>
      <c r="D30" t="s">
        <v>179</v>
      </c>
      <c r="E30" t="s">
        <v>180</v>
      </c>
      <c r="F30" t="s">
        <v>12</v>
      </c>
      <c r="G30" t="s">
        <v>181</v>
      </c>
      <c r="H30" t="s">
        <v>182</v>
      </c>
    </row>
    <row r="31" spans="1:8" x14ac:dyDescent="0.3">
      <c r="A31">
        <v>30</v>
      </c>
      <c r="B31" t="s">
        <v>183</v>
      </c>
      <c r="C31" t="s">
        <v>184</v>
      </c>
      <c r="D31" t="s">
        <v>185</v>
      </c>
      <c r="F31" t="s">
        <v>12</v>
      </c>
      <c r="G31" t="s">
        <v>186</v>
      </c>
      <c r="H31" t="s">
        <v>187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9"/>
  <sheetViews>
    <sheetView workbookViewId="0">
      <selection activeCell="B2" sqref="B2"/>
    </sheetView>
  </sheetViews>
  <sheetFormatPr defaultRowHeight="14.4" x14ac:dyDescent="0.3"/>
  <cols>
    <col min="1" max="1" width="11.44140625" bestFit="1" customWidth="1"/>
    <col min="2" max="2" width="10" bestFit="1" customWidth="1"/>
    <col min="3" max="3" width="9.21875" bestFit="1" customWidth="1"/>
    <col min="4" max="4" width="17" bestFit="1" customWidth="1"/>
    <col min="5" max="5" width="12" bestFit="1" customWidth="1"/>
    <col min="7" max="7" width="9.109375" bestFit="1" customWidth="1"/>
    <col min="8" max="8" width="11.109375" bestFit="1" customWidth="1"/>
  </cols>
  <sheetData>
    <row r="1" spans="1:8" x14ac:dyDescent="0.3">
      <c r="A1" t="s">
        <v>188</v>
      </c>
      <c r="B1" t="s">
        <v>189</v>
      </c>
      <c r="C1" t="s">
        <v>190</v>
      </c>
      <c r="D1" t="s">
        <v>191</v>
      </c>
      <c r="E1" t="s">
        <v>192</v>
      </c>
      <c r="F1" t="s">
        <v>193</v>
      </c>
      <c r="G1" t="s">
        <v>194</v>
      </c>
      <c r="H1" t="s">
        <v>0</v>
      </c>
    </row>
    <row r="2" spans="1:8" x14ac:dyDescent="0.3">
      <c r="A2">
        <v>1</v>
      </c>
      <c r="B2" t="s">
        <v>195</v>
      </c>
      <c r="C2" t="s">
        <v>196</v>
      </c>
      <c r="D2" t="s">
        <v>197</v>
      </c>
      <c r="E2" t="s">
        <v>198</v>
      </c>
      <c r="F2">
        <v>30.5</v>
      </c>
      <c r="G2" t="s">
        <v>199</v>
      </c>
      <c r="H2">
        <v>1</v>
      </c>
    </row>
    <row r="3" spans="1:8" x14ac:dyDescent="0.3">
      <c r="A3">
        <v>2</v>
      </c>
      <c r="B3" t="s">
        <v>200</v>
      </c>
      <c r="C3" t="s">
        <v>201</v>
      </c>
      <c r="D3" t="s">
        <v>202</v>
      </c>
      <c r="F3">
        <v>4.2</v>
      </c>
      <c r="G3" t="s">
        <v>199</v>
      </c>
      <c r="H3">
        <v>2</v>
      </c>
    </row>
    <row r="4" spans="1:8" x14ac:dyDescent="0.3">
      <c r="A4">
        <v>3</v>
      </c>
      <c r="B4" t="s">
        <v>203</v>
      </c>
      <c r="C4" t="s">
        <v>196</v>
      </c>
      <c r="D4" t="s">
        <v>204</v>
      </c>
      <c r="E4" t="s">
        <v>205</v>
      </c>
      <c r="F4">
        <v>12</v>
      </c>
      <c r="G4" t="s">
        <v>206</v>
      </c>
      <c r="H4">
        <v>1</v>
      </c>
    </row>
    <row r="5" spans="1:8" x14ac:dyDescent="0.3">
      <c r="A5">
        <v>4</v>
      </c>
      <c r="B5" t="s">
        <v>207</v>
      </c>
      <c r="C5" t="s">
        <v>201</v>
      </c>
      <c r="D5" t="s">
        <v>208</v>
      </c>
      <c r="E5" t="s">
        <v>209</v>
      </c>
      <c r="F5">
        <v>3.8</v>
      </c>
      <c r="G5" t="s">
        <v>206</v>
      </c>
      <c r="H5">
        <v>3</v>
      </c>
    </row>
    <row r="6" spans="1:8" x14ac:dyDescent="0.3">
      <c r="A6">
        <v>5</v>
      </c>
      <c r="B6" t="s">
        <v>210</v>
      </c>
      <c r="C6" t="s">
        <v>211</v>
      </c>
      <c r="G6" t="s">
        <v>206</v>
      </c>
      <c r="H6">
        <v>4</v>
      </c>
    </row>
    <row r="7" spans="1:8" x14ac:dyDescent="0.3">
      <c r="A7">
        <v>6</v>
      </c>
      <c r="B7" t="s">
        <v>212</v>
      </c>
      <c r="C7" t="s">
        <v>201</v>
      </c>
      <c r="D7" t="s">
        <v>202</v>
      </c>
      <c r="F7">
        <v>4</v>
      </c>
      <c r="G7" t="s">
        <v>199</v>
      </c>
      <c r="H7">
        <v>5</v>
      </c>
    </row>
    <row r="8" spans="1:8" x14ac:dyDescent="0.3">
      <c r="A8">
        <v>7</v>
      </c>
      <c r="B8" t="s">
        <v>213</v>
      </c>
      <c r="C8" t="s">
        <v>201</v>
      </c>
      <c r="D8" t="s">
        <v>214</v>
      </c>
      <c r="E8" t="s">
        <v>215</v>
      </c>
      <c r="F8">
        <v>4.7</v>
      </c>
      <c r="G8" t="s">
        <v>199</v>
      </c>
      <c r="H8">
        <v>6</v>
      </c>
    </row>
    <row r="9" spans="1:8" x14ac:dyDescent="0.3">
      <c r="A9">
        <v>8</v>
      </c>
      <c r="B9" t="s">
        <v>216</v>
      </c>
      <c r="C9" t="s">
        <v>201</v>
      </c>
      <c r="D9" t="s">
        <v>217</v>
      </c>
      <c r="E9" t="s">
        <v>218</v>
      </c>
      <c r="F9">
        <v>4</v>
      </c>
      <c r="G9" t="s">
        <v>206</v>
      </c>
      <c r="H9">
        <v>6</v>
      </c>
    </row>
    <row r="10" spans="1:8" x14ac:dyDescent="0.3">
      <c r="A10">
        <v>9</v>
      </c>
      <c r="B10" t="s">
        <v>219</v>
      </c>
      <c r="C10" t="s">
        <v>196</v>
      </c>
      <c r="F10">
        <v>11</v>
      </c>
      <c r="G10" t="s">
        <v>199</v>
      </c>
      <c r="H10">
        <v>7</v>
      </c>
    </row>
    <row r="11" spans="1:8" x14ac:dyDescent="0.3">
      <c r="A11">
        <v>10</v>
      </c>
      <c r="B11" t="s">
        <v>220</v>
      </c>
      <c r="C11" t="s">
        <v>211</v>
      </c>
      <c r="F11">
        <v>0.38</v>
      </c>
      <c r="G11" t="s">
        <v>206</v>
      </c>
      <c r="H11">
        <v>8</v>
      </c>
    </row>
    <row r="12" spans="1:8" x14ac:dyDescent="0.3">
      <c r="A12">
        <v>11</v>
      </c>
      <c r="B12" t="s">
        <v>221</v>
      </c>
      <c r="C12" t="s">
        <v>211</v>
      </c>
      <c r="F12">
        <v>0.45</v>
      </c>
      <c r="G12" t="s">
        <v>199</v>
      </c>
      <c r="H12">
        <v>8</v>
      </c>
    </row>
    <row r="13" spans="1:8" x14ac:dyDescent="0.3">
      <c r="A13">
        <v>12</v>
      </c>
      <c r="B13" t="s">
        <v>222</v>
      </c>
      <c r="C13" t="s">
        <v>196</v>
      </c>
      <c r="D13" t="s">
        <v>223</v>
      </c>
      <c r="F13">
        <v>15.32</v>
      </c>
      <c r="G13" t="s">
        <v>199</v>
      </c>
      <c r="H13">
        <v>9</v>
      </c>
    </row>
    <row r="14" spans="1:8" x14ac:dyDescent="0.3">
      <c r="A14">
        <v>13</v>
      </c>
      <c r="B14" t="s">
        <v>224</v>
      </c>
      <c r="C14" t="s">
        <v>196</v>
      </c>
      <c r="D14" t="s">
        <v>225</v>
      </c>
      <c r="E14" t="s">
        <v>226</v>
      </c>
      <c r="F14">
        <v>28</v>
      </c>
      <c r="G14" t="s">
        <v>199</v>
      </c>
      <c r="H14">
        <v>1</v>
      </c>
    </row>
    <row r="15" spans="1:8" x14ac:dyDescent="0.3">
      <c r="A15">
        <v>14</v>
      </c>
      <c r="B15" t="s">
        <v>227</v>
      </c>
      <c r="C15" t="s">
        <v>201</v>
      </c>
      <c r="D15" t="s">
        <v>228</v>
      </c>
      <c r="E15" t="s">
        <v>229</v>
      </c>
      <c r="F15">
        <v>4.5</v>
      </c>
      <c r="G15" t="s">
        <v>206</v>
      </c>
      <c r="H15">
        <v>2</v>
      </c>
    </row>
    <row r="16" spans="1:8" x14ac:dyDescent="0.3">
      <c r="A16">
        <v>15</v>
      </c>
      <c r="B16" t="s">
        <v>230</v>
      </c>
      <c r="C16" t="s">
        <v>201</v>
      </c>
      <c r="D16" t="s">
        <v>202</v>
      </c>
      <c r="E16" t="s">
        <v>231</v>
      </c>
      <c r="F16">
        <v>5.0999999999999996</v>
      </c>
      <c r="G16" t="s">
        <v>199</v>
      </c>
      <c r="H16">
        <v>2</v>
      </c>
    </row>
    <row r="17" spans="1:8" x14ac:dyDescent="0.3">
      <c r="A17">
        <v>16</v>
      </c>
      <c r="B17" t="s">
        <v>232</v>
      </c>
      <c r="C17" t="s">
        <v>196</v>
      </c>
      <c r="D17" t="s">
        <v>233</v>
      </c>
      <c r="E17" t="s">
        <v>234</v>
      </c>
      <c r="F17">
        <v>10.199999999999999</v>
      </c>
      <c r="G17" t="s">
        <v>199</v>
      </c>
      <c r="H17">
        <v>3</v>
      </c>
    </row>
    <row r="18" spans="1:8" x14ac:dyDescent="0.3">
      <c r="A18">
        <v>17</v>
      </c>
      <c r="B18" t="s">
        <v>235</v>
      </c>
      <c r="C18" t="s">
        <v>201</v>
      </c>
      <c r="D18" t="s">
        <v>202</v>
      </c>
      <c r="E18" t="s">
        <v>236</v>
      </c>
      <c r="F18">
        <v>3.9</v>
      </c>
      <c r="G18" t="s">
        <v>199</v>
      </c>
      <c r="H18">
        <v>4</v>
      </c>
    </row>
    <row r="19" spans="1:8" x14ac:dyDescent="0.3">
      <c r="A19">
        <v>18</v>
      </c>
      <c r="B19" t="s">
        <v>237</v>
      </c>
      <c r="C19" t="s">
        <v>238</v>
      </c>
      <c r="E19" t="s">
        <v>239</v>
      </c>
      <c r="F19">
        <v>1.8</v>
      </c>
      <c r="G19" t="s">
        <v>206</v>
      </c>
      <c r="H19">
        <v>4</v>
      </c>
    </row>
    <row r="20" spans="1:8" x14ac:dyDescent="0.3">
      <c r="A20">
        <v>19</v>
      </c>
      <c r="B20" t="s">
        <v>240</v>
      </c>
      <c r="C20" t="s">
        <v>196</v>
      </c>
      <c r="D20" t="s">
        <v>241</v>
      </c>
      <c r="E20" t="s">
        <v>242</v>
      </c>
      <c r="F20">
        <v>6.5</v>
      </c>
      <c r="G20" t="s">
        <v>206</v>
      </c>
      <c r="H20">
        <v>5</v>
      </c>
    </row>
    <row r="21" spans="1:8" x14ac:dyDescent="0.3">
      <c r="A21">
        <v>20</v>
      </c>
      <c r="B21" t="s">
        <v>243</v>
      </c>
      <c r="C21" t="s">
        <v>201</v>
      </c>
      <c r="D21" t="s">
        <v>244</v>
      </c>
      <c r="E21" t="s">
        <v>245</v>
      </c>
      <c r="F21">
        <v>5.8</v>
      </c>
      <c r="G21" t="s">
        <v>206</v>
      </c>
      <c r="H21">
        <v>5</v>
      </c>
    </row>
    <row r="22" spans="1:8" x14ac:dyDescent="0.3">
      <c r="A22">
        <v>21</v>
      </c>
      <c r="B22" t="s">
        <v>246</v>
      </c>
      <c r="C22" t="s">
        <v>196</v>
      </c>
      <c r="D22" t="s">
        <v>225</v>
      </c>
      <c r="E22" t="s">
        <v>247</v>
      </c>
      <c r="F22">
        <v>32</v>
      </c>
      <c r="G22" t="s">
        <v>199</v>
      </c>
      <c r="H22">
        <v>6</v>
      </c>
    </row>
    <row r="23" spans="1:8" x14ac:dyDescent="0.3">
      <c r="A23">
        <v>22</v>
      </c>
      <c r="B23" t="s">
        <v>248</v>
      </c>
      <c r="C23" t="s">
        <v>196</v>
      </c>
      <c r="D23" t="s">
        <v>249</v>
      </c>
      <c r="E23" t="s">
        <v>250</v>
      </c>
      <c r="F23">
        <v>33.5</v>
      </c>
      <c r="G23" t="s">
        <v>206</v>
      </c>
      <c r="H23">
        <v>7</v>
      </c>
    </row>
    <row r="24" spans="1:8" x14ac:dyDescent="0.3">
      <c r="A24">
        <v>23</v>
      </c>
      <c r="B24" t="s">
        <v>251</v>
      </c>
      <c r="C24" t="s">
        <v>201</v>
      </c>
      <c r="D24" t="s">
        <v>202</v>
      </c>
      <c r="F24">
        <v>3.4</v>
      </c>
      <c r="G24" t="s">
        <v>206</v>
      </c>
      <c r="H24">
        <v>7</v>
      </c>
    </row>
    <row r="25" spans="1:8" x14ac:dyDescent="0.3">
      <c r="A25">
        <v>24</v>
      </c>
      <c r="B25" t="s">
        <v>252</v>
      </c>
      <c r="C25" t="s">
        <v>196</v>
      </c>
      <c r="D25" t="s">
        <v>253</v>
      </c>
      <c r="E25" t="s">
        <v>254</v>
      </c>
      <c r="F25">
        <v>13</v>
      </c>
      <c r="G25" t="s">
        <v>199</v>
      </c>
      <c r="H25">
        <v>8</v>
      </c>
    </row>
    <row r="26" spans="1:8" x14ac:dyDescent="0.3">
      <c r="A26">
        <v>25</v>
      </c>
      <c r="B26" t="s">
        <v>255</v>
      </c>
      <c r="C26" t="s">
        <v>196</v>
      </c>
      <c r="D26" t="s">
        <v>256</v>
      </c>
      <c r="E26" t="s">
        <v>257</v>
      </c>
      <c r="F26">
        <v>27.5</v>
      </c>
      <c r="G26" t="s">
        <v>206</v>
      </c>
      <c r="H26">
        <v>9</v>
      </c>
    </row>
    <row r="27" spans="1:8" x14ac:dyDescent="0.3">
      <c r="A27">
        <v>26</v>
      </c>
      <c r="B27" t="s">
        <v>258</v>
      </c>
      <c r="C27" t="s">
        <v>196</v>
      </c>
      <c r="D27" t="s">
        <v>197</v>
      </c>
      <c r="E27" t="s">
        <v>259</v>
      </c>
      <c r="F27">
        <v>29</v>
      </c>
      <c r="G27" t="s">
        <v>199</v>
      </c>
      <c r="H27">
        <v>10</v>
      </c>
    </row>
    <row r="28" spans="1:8" x14ac:dyDescent="0.3">
      <c r="A28">
        <v>27</v>
      </c>
      <c r="B28" t="s">
        <v>260</v>
      </c>
      <c r="C28" t="s">
        <v>201</v>
      </c>
      <c r="D28" t="s">
        <v>261</v>
      </c>
      <c r="E28" t="s">
        <v>262</v>
      </c>
      <c r="F28">
        <v>3.6</v>
      </c>
      <c r="G28" t="s">
        <v>206</v>
      </c>
      <c r="H28">
        <v>11</v>
      </c>
    </row>
    <row r="29" spans="1:8" x14ac:dyDescent="0.3">
      <c r="A29">
        <v>28</v>
      </c>
      <c r="B29" t="s">
        <v>263</v>
      </c>
      <c r="C29" t="s">
        <v>196</v>
      </c>
      <c r="D29" t="s">
        <v>264</v>
      </c>
      <c r="E29" t="s">
        <v>265</v>
      </c>
      <c r="F29">
        <v>30</v>
      </c>
      <c r="G29" t="s">
        <v>199</v>
      </c>
      <c r="H29">
        <v>11</v>
      </c>
    </row>
    <row r="30" spans="1:8" x14ac:dyDescent="0.3">
      <c r="A30">
        <v>29</v>
      </c>
      <c r="B30" t="s">
        <v>266</v>
      </c>
      <c r="C30" t="s">
        <v>211</v>
      </c>
      <c r="F30">
        <v>0.42</v>
      </c>
      <c r="G30" t="s">
        <v>199</v>
      </c>
      <c r="H30">
        <v>11</v>
      </c>
    </row>
    <row r="31" spans="1:8" x14ac:dyDescent="0.3">
      <c r="A31">
        <v>30</v>
      </c>
      <c r="B31" t="s">
        <v>267</v>
      </c>
      <c r="C31" t="s">
        <v>196</v>
      </c>
      <c r="D31" t="s">
        <v>268</v>
      </c>
      <c r="E31" t="s">
        <v>269</v>
      </c>
      <c r="F31">
        <v>58</v>
      </c>
      <c r="G31" t="s">
        <v>199</v>
      </c>
      <c r="H31">
        <v>12</v>
      </c>
    </row>
    <row r="32" spans="1:8" x14ac:dyDescent="0.3">
      <c r="A32">
        <v>31</v>
      </c>
      <c r="B32" t="s">
        <v>270</v>
      </c>
      <c r="C32" t="s">
        <v>201</v>
      </c>
      <c r="D32" t="s">
        <v>271</v>
      </c>
      <c r="E32" t="s">
        <v>272</v>
      </c>
      <c r="F32">
        <v>6.2</v>
      </c>
      <c r="G32" t="s">
        <v>206</v>
      </c>
      <c r="H32">
        <v>12</v>
      </c>
    </row>
    <row r="33" spans="1:8" x14ac:dyDescent="0.3">
      <c r="A33">
        <v>32</v>
      </c>
      <c r="B33" t="s">
        <v>273</v>
      </c>
      <c r="C33" t="s">
        <v>274</v>
      </c>
      <c r="E33" t="s">
        <v>275</v>
      </c>
      <c r="F33">
        <v>0.32</v>
      </c>
      <c r="G33" t="s">
        <v>206</v>
      </c>
      <c r="H33">
        <v>13</v>
      </c>
    </row>
    <row r="34" spans="1:8" x14ac:dyDescent="0.3">
      <c r="A34">
        <v>33</v>
      </c>
      <c r="B34" t="s">
        <v>276</v>
      </c>
      <c r="C34" t="s">
        <v>201</v>
      </c>
      <c r="D34" t="s">
        <v>202</v>
      </c>
      <c r="E34" t="s">
        <v>277</v>
      </c>
      <c r="F34">
        <v>4.0999999999999996</v>
      </c>
      <c r="G34" t="s">
        <v>206</v>
      </c>
      <c r="H34">
        <v>13</v>
      </c>
    </row>
    <row r="35" spans="1:8" x14ac:dyDescent="0.3">
      <c r="A35">
        <v>34</v>
      </c>
      <c r="B35" t="s">
        <v>278</v>
      </c>
      <c r="C35" t="s">
        <v>196</v>
      </c>
      <c r="D35" t="s">
        <v>279</v>
      </c>
      <c r="E35" t="s">
        <v>280</v>
      </c>
      <c r="F35">
        <v>24</v>
      </c>
      <c r="G35" t="s">
        <v>199</v>
      </c>
      <c r="H35">
        <v>13</v>
      </c>
    </row>
    <row r="36" spans="1:8" x14ac:dyDescent="0.3">
      <c r="A36">
        <v>35</v>
      </c>
      <c r="B36" t="s">
        <v>281</v>
      </c>
      <c r="C36" t="s">
        <v>196</v>
      </c>
      <c r="D36" t="s">
        <v>282</v>
      </c>
      <c r="E36" t="s">
        <v>283</v>
      </c>
      <c r="F36">
        <v>45</v>
      </c>
      <c r="G36" t="s">
        <v>199</v>
      </c>
      <c r="H36">
        <v>14</v>
      </c>
    </row>
    <row r="37" spans="1:8" x14ac:dyDescent="0.3">
      <c r="A37">
        <v>36</v>
      </c>
      <c r="B37" t="s">
        <v>284</v>
      </c>
      <c r="C37" t="s">
        <v>201</v>
      </c>
      <c r="D37" t="s">
        <v>285</v>
      </c>
      <c r="E37" t="s">
        <v>286</v>
      </c>
      <c r="F37">
        <v>3.7</v>
      </c>
      <c r="G37" t="s">
        <v>206</v>
      </c>
      <c r="H37">
        <v>14</v>
      </c>
    </row>
    <row r="38" spans="1:8" x14ac:dyDescent="0.3">
      <c r="A38">
        <v>37</v>
      </c>
      <c r="B38" t="s">
        <v>287</v>
      </c>
      <c r="C38" t="s">
        <v>196</v>
      </c>
      <c r="D38" t="s">
        <v>288</v>
      </c>
      <c r="E38" t="s">
        <v>289</v>
      </c>
      <c r="F38">
        <v>2.8</v>
      </c>
      <c r="G38" t="s">
        <v>206</v>
      </c>
      <c r="H38">
        <v>15</v>
      </c>
    </row>
    <row r="39" spans="1:8" x14ac:dyDescent="0.3">
      <c r="A39">
        <v>38</v>
      </c>
      <c r="B39" t="s">
        <v>290</v>
      </c>
      <c r="C39" t="s">
        <v>211</v>
      </c>
      <c r="F39">
        <v>0.4</v>
      </c>
      <c r="G39" t="s">
        <v>206</v>
      </c>
      <c r="H39">
        <v>15</v>
      </c>
    </row>
    <row r="40" spans="1:8" x14ac:dyDescent="0.3">
      <c r="A40">
        <v>39</v>
      </c>
      <c r="B40" t="s">
        <v>291</v>
      </c>
      <c r="C40" t="s">
        <v>196</v>
      </c>
      <c r="D40" t="s">
        <v>292</v>
      </c>
      <c r="E40" t="s">
        <v>293</v>
      </c>
      <c r="F40">
        <v>26</v>
      </c>
      <c r="G40" t="s">
        <v>199</v>
      </c>
      <c r="H40">
        <v>16</v>
      </c>
    </row>
    <row r="41" spans="1:8" x14ac:dyDescent="0.3">
      <c r="A41">
        <v>40</v>
      </c>
      <c r="B41" t="s">
        <v>294</v>
      </c>
      <c r="C41" t="s">
        <v>201</v>
      </c>
      <c r="D41" t="s">
        <v>202</v>
      </c>
      <c r="F41">
        <v>4.3</v>
      </c>
      <c r="G41" t="s">
        <v>199</v>
      </c>
      <c r="H41">
        <v>16</v>
      </c>
    </row>
    <row r="42" spans="1:8" x14ac:dyDescent="0.3">
      <c r="A42">
        <v>41</v>
      </c>
      <c r="B42" t="s">
        <v>295</v>
      </c>
      <c r="C42" t="s">
        <v>196</v>
      </c>
      <c r="D42" t="s">
        <v>296</v>
      </c>
      <c r="E42" t="s">
        <v>297</v>
      </c>
      <c r="F42">
        <v>16</v>
      </c>
      <c r="G42" t="s">
        <v>206</v>
      </c>
      <c r="H42">
        <v>17</v>
      </c>
    </row>
    <row r="43" spans="1:8" x14ac:dyDescent="0.3">
      <c r="A43">
        <v>42</v>
      </c>
      <c r="B43" t="s">
        <v>298</v>
      </c>
      <c r="C43" t="s">
        <v>238</v>
      </c>
      <c r="E43" t="s">
        <v>299</v>
      </c>
      <c r="F43">
        <v>2.1</v>
      </c>
      <c r="G43" t="s">
        <v>199</v>
      </c>
      <c r="H43">
        <v>17</v>
      </c>
    </row>
    <row r="44" spans="1:8" x14ac:dyDescent="0.3">
      <c r="A44">
        <v>43</v>
      </c>
      <c r="B44" t="s">
        <v>300</v>
      </c>
      <c r="C44" t="s">
        <v>196</v>
      </c>
      <c r="D44" t="s">
        <v>301</v>
      </c>
      <c r="E44" t="s">
        <v>302</v>
      </c>
      <c r="F44">
        <v>72</v>
      </c>
      <c r="G44" t="s">
        <v>199</v>
      </c>
      <c r="H44">
        <v>18</v>
      </c>
    </row>
    <row r="45" spans="1:8" x14ac:dyDescent="0.3">
      <c r="A45">
        <v>44</v>
      </c>
      <c r="B45" t="s">
        <v>303</v>
      </c>
      <c r="C45" t="s">
        <v>201</v>
      </c>
      <c r="D45" t="s">
        <v>304</v>
      </c>
      <c r="E45" t="s">
        <v>305</v>
      </c>
      <c r="F45">
        <v>5.5</v>
      </c>
      <c r="G45" t="s">
        <v>199</v>
      </c>
      <c r="H45">
        <v>18</v>
      </c>
    </row>
    <row r="46" spans="1:8" x14ac:dyDescent="0.3">
      <c r="A46">
        <v>45</v>
      </c>
      <c r="B46" t="s">
        <v>306</v>
      </c>
      <c r="C46" t="s">
        <v>201</v>
      </c>
      <c r="D46" t="s">
        <v>202</v>
      </c>
      <c r="E46" t="s">
        <v>307</v>
      </c>
      <c r="F46">
        <v>3.8</v>
      </c>
      <c r="G46" t="s">
        <v>206</v>
      </c>
      <c r="H46">
        <v>19</v>
      </c>
    </row>
    <row r="47" spans="1:8" x14ac:dyDescent="0.3">
      <c r="A47">
        <v>46</v>
      </c>
      <c r="B47" t="s">
        <v>308</v>
      </c>
      <c r="C47" t="s">
        <v>196</v>
      </c>
      <c r="D47" t="s">
        <v>309</v>
      </c>
      <c r="E47" t="s">
        <v>310</v>
      </c>
      <c r="F47">
        <v>3.5</v>
      </c>
      <c r="G47" t="s">
        <v>206</v>
      </c>
      <c r="H47">
        <v>19</v>
      </c>
    </row>
    <row r="48" spans="1:8" x14ac:dyDescent="0.3">
      <c r="A48">
        <v>47</v>
      </c>
      <c r="B48" t="s">
        <v>311</v>
      </c>
      <c r="C48" t="s">
        <v>196</v>
      </c>
      <c r="D48" t="s">
        <v>312</v>
      </c>
      <c r="E48" t="s">
        <v>313</v>
      </c>
      <c r="F48">
        <v>22</v>
      </c>
      <c r="G48" t="s">
        <v>199</v>
      </c>
      <c r="H48">
        <v>20</v>
      </c>
    </row>
    <row r="49" spans="1:8" x14ac:dyDescent="0.3">
      <c r="A49">
        <v>48</v>
      </c>
      <c r="B49" t="s">
        <v>314</v>
      </c>
      <c r="C49" t="s">
        <v>201</v>
      </c>
      <c r="D49" t="s">
        <v>202</v>
      </c>
      <c r="F49">
        <v>4.5999999999999996</v>
      </c>
      <c r="G49" t="s">
        <v>199</v>
      </c>
      <c r="H49">
        <v>20</v>
      </c>
    </row>
    <row r="50" spans="1:8" x14ac:dyDescent="0.3">
      <c r="A50">
        <v>49</v>
      </c>
      <c r="B50" t="s">
        <v>315</v>
      </c>
      <c r="C50" t="s">
        <v>196</v>
      </c>
      <c r="D50" t="s">
        <v>316</v>
      </c>
      <c r="E50" t="s">
        <v>317</v>
      </c>
      <c r="F50">
        <v>8</v>
      </c>
      <c r="G50" t="s">
        <v>206</v>
      </c>
      <c r="H50">
        <v>21</v>
      </c>
    </row>
    <row r="51" spans="1:8" x14ac:dyDescent="0.3">
      <c r="A51">
        <v>50</v>
      </c>
      <c r="B51" t="s">
        <v>318</v>
      </c>
      <c r="C51" t="s">
        <v>201</v>
      </c>
      <c r="D51" t="s">
        <v>202</v>
      </c>
      <c r="E51" t="s">
        <v>319</v>
      </c>
      <c r="F51">
        <v>4.4000000000000004</v>
      </c>
      <c r="G51" t="s">
        <v>199</v>
      </c>
      <c r="H51">
        <v>21</v>
      </c>
    </row>
    <row r="52" spans="1:8" x14ac:dyDescent="0.3">
      <c r="A52">
        <v>51</v>
      </c>
      <c r="B52" t="s">
        <v>320</v>
      </c>
      <c r="C52" t="s">
        <v>196</v>
      </c>
      <c r="D52" t="s">
        <v>321</v>
      </c>
      <c r="E52" t="s">
        <v>322</v>
      </c>
      <c r="F52">
        <v>62</v>
      </c>
      <c r="G52" t="s">
        <v>199</v>
      </c>
      <c r="H52">
        <v>22</v>
      </c>
    </row>
    <row r="53" spans="1:8" x14ac:dyDescent="0.3">
      <c r="A53">
        <v>52</v>
      </c>
      <c r="B53" t="s">
        <v>323</v>
      </c>
      <c r="C53" t="s">
        <v>201</v>
      </c>
      <c r="D53" t="s">
        <v>214</v>
      </c>
      <c r="E53" t="s">
        <v>324</v>
      </c>
      <c r="F53">
        <v>5</v>
      </c>
      <c r="G53" t="s">
        <v>206</v>
      </c>
      <c r="H53">
        <v>22</v>
      </c>
    </row>
    <row r="54" spans="1:8" x14ac:dyDescent="0.3">
      <c r="A54">
        <v>53</v>
      </c>
      <c r="B54" t="s">
        <v>325</v>
      </c>
      <c r="C54" t="s">
        <v>196</v>
      </c>
      <c r="D54" t="s">
        <v>326</v>
      </c>
      <c r="E54" t="s">
        <v>327</v>
      </c>
      <c r="F54">
        <v>18</v>
      </c>
      <c r="G54" t="s">
        <v>199</v>
      </c>
      <c r="H54">
        <v>23</v>
      </c>
    </row>
    <row r="55" spans="1:8" x14ac:dyDescent="0.3">
      <c r="A55">
        <v>54</v>
      </c>
      <c r="B55" t="s">
        <v>328</v>
      </c>
      <c r="C55" t="s">
        <v>201</v>
      </c>
      <c r="D55" t="s">
        <v>329</v>
      </c>
      <c r="E55" t="s">
        <v>330</v>
      </c>
      <c r="F55">
        <v>4.2</v>
      </c>
      <c r="G55" t="s">
        <v>199</v>
      </c>
      <c r="H55">
        <v>23</v>
      </c>
    </row>
    <row r="56" spans="1:8" x14ac:dyDescent="0.3">
      <c r="A56">
        <v>55</v>
      </c>
      <c r="B56" t="s">
        <v>331</v>
      </c>
      <c r="C56" t="s">
        <v>196</v>
      </c>
      <c r="D56" t="s">
        <v>332</v>
      </c>
      <c r="E56" t="s">
        <v>333</v>
      </c>
      <c r="F56">
        <v>25</v>
      </c>
      <c r="G56" t="s">
        <v>199</v>
      </c>
      <c r="H56">
        <v>24</v>
      </c>
    </row>
    <row r="57" spans="1:8" x14ac:dyDescent="0.3">
      <c r="A57">
        <v>56</v>
      </c>
      <c r="B57" t="s">
        <v>334</v>
      </c>
      <c r="C57" t="s">
        <v>201</v>
      </c>
      <c r="D57" t="s">
        <v>202</v>
      </c>
      <c r="F57">
        <v>3.9</v>
      </c>
      <c r="G57" t="s">
        <v>206</v>
      </c>
      <c r="H57">
        <v>24</v>
      </c>
    </row>
    <row r="58" spans="1:8" x14ac:dyDescent="0.3">
      <c r="A58">
        <v>57</v>
      </c>
      <c r="B58" t="s">
        <v>335</v>
      </c>
      <c r="C58" t="s">
        <v>274</v>
      </c>
      <c r="E58" t="s">
        <v>336</v>
      </c>
      <c r="F58">
        <v>0.28000000000000003</v>
      </c>
      <c r="G58" t="s">
        <v>199</v>
      </c>
      <c r="H58">
        <v>24</v>
      </c>
    </row>
    <row r="59" spans="1:8" x14ac:dyDescent="0.3">
      <c r="A59">
        <v>58</v>
      </c>
      <c r="B59" t="s">
        <v>337</v>
      </c>
      <c r="C59" t="s">
        <v>196</v>
      </c>
      <c r="D59" t="s">
        <v>338</v>
      </c>
      <c r="E59" t="s">
        <v>339</v>
      </c>
      <c r="F59">
        <v>8.5</v>
      </c>
      <c r="G59" t="s">
        <v>206</v>
      </c>
      <c r="H59">
        <v>25</v>
      </c>
    </row>
    <row r="60" spans="1:8" x14ac:dyDescent="0.3">
      <c r="A60">
        <v>59</v>
      </c>
      <c r="B60" t="s">
        <v>340</v>
      </c>
      <c r="C60" t="s">
        <v>211</v>
      </c>
      <c r="F60">
        <v>0.38</v>
      </c>
      <c r="G60" t="s">
        <v>199</v>
      </c>
      <c r="H60">
        <v>25</v>
      </c>
    </row>
    <row r="61" spans="1:8" x14ac:dyDescent="0.3">
      <c r="A61">
        <v>60</v>
      </c>
      <c r="B61" t="s">
        <v>341</v>
      </c>
      <c r="C61" t="s">
        <v>196</v>
      </c>
      <c r="D61" t="s">
        <v>342</v>
      </c>
      <c r="E61" t="s">
        <v>343</v>
      </c>
      <c r="F61">
        <v>50</v>
      </c>
      <c r="G61" t="s">
        <v>199</v>
      </c>
      <c r="H61">
        <v>26</v>
      </c>
    </row>
    <row r="62" spans="1:8" x14ac:dyDescent="0.3">
      <c r="A62">
        <v>61</v>
      </c>
      <c r="B62" t="s">
        <v>344</v>
      </c>
      <c r="C62" t="s">
        <v>201</v>
      </c>
      <c r="D62" t="s">
        <v>208</v>
      </c>
      <c r="E62" t="s">
        <v>345</v>
      </c>
      <c r="F62">
        <v>4.8</v>
      </c>
      <c r="G62" t="s">
        <v>206</v>
      </c>
      <c r="H62">
        <v>26</v>
      </c>
    </row>
    <row r="63" spans="1:8" x14ac:dyDescent="0.3">
      <c r="A63">
        <v>62</v>
      </c>
      <c r="B63" t="s">
        <v>346</v>
      </c>
      <c r="C63" t="s">
        <v>196</v>
      </c>
      <c r="D63" t="s">
        <v>347</v>
      </c>
      <c r="E63" t="s">
        <v>348</v>
      </c>
      <c r="F63">
        <v>6</v>
      </c>
      <c r="G63" t="s">
        <v>199</v>
      </c>
      <c r="H63">
        <v>27</v>
      </c>
    </row>
    <row r="64" spans="1:8" x14ac:dyDescent="0.3">
      <c r="A64">
        <v>63</v>
      </c>
      <c r="B64" t="s">
        <v>349</v>
      </c>
      <c r="C64" t="s">
        <v>201</v>
      </c>
      <c r="D64" t="s">
        <v>202</v>
      </c>
      <c r="E64" t="s">
        <v>350</v>
      </c>
      <c r="F64">
        <v>3.5</v>
      </c>
      <c r="G64" t="s">
        <v>206</v>
      </c>
      <c r="H64">
        <v>27</v>
      </c>
    </row>
    <row r="65" spans="1:8" x14ac:dyDescent="0.3">
      <c r="A65">
        <v>64</v>
      </c>
      <c r="B65" t="s">
        <v>351</v>
      </c>
      <c r="C65" t="s">
        <v>196</v>
      </c>
      <c r="D65" t="s">
        <v>296</v>
      </c>
      <c r="E65" t="s">
        <v>352</v>
      </c>
      <c r="F65">
        <v>14</v>
      </c>
      <c r="G65" t="s">
        <v>206</v>
      </c>
      <c r="H65">
        <v>28</v>
      </c>
    </row>
    <row r="66" spans="1:8" x14ac:dyDescent="0.3">
      <c r="A66">
        <v>65</v>
      </c>
      <c r="B66" t="s">
        <v>353</v>
      </c>
      <c r="C66" t="s">
        <v>201</v>
      </c>
      <c r="D66" t="s">
        <v>354</v>
      </c>
      <c r="E66" t="s">
        <v>355</v>
      </c>
      <c r="F66">
        <v>4.9000000000000004</v>
      </c>
      <c r="G66" t="s">
        <v>199</v>
      </c>
      <c r="H66">
        <v>28</v>
      </c>
    </row>
    <row r="67" spans="1:8" x14ac:dyDescent="0.3">
      <c r="A67">
        <v>66</v>
      </c>
      <c r="B67" t="s">
        <v>356</v>
      </c>
      <c r="C67" t="s">
        <v>196</v>
      </c>
      <c r="D67" t="s">
        <v>292</v>
      </c>
      <c r="E67" t="s">
        <v>357</v>
      </c>
      <c r="F67">
        <v>27.5</v>
      </c>
      <c r="G67" t="s">
        <v>199</v>
      </c>
      <c r="H67">
        <v>29</v>
      </c>
    </row>
    <row r="68" spans="1:8" x14ac:dyDescent="0.3">
      <c r="A68">
        <v>67</v>
      </c>
      <c r="B68" t="s">
        <v>358</v>
      </c>
      <c r="C68" t="s">
        <v>201</v>
      </c>
      <c r="D68" t="s">
        <v>202</v>
      </c>
      <c r="E68" t="s">
        <v>359</v>
      </c>
      <c r="F68">
        <v>3.7</v>
      </c>
      <c r="G68" t="s">
        <v>206</v>
      </c>
      <c r="H68">
        <v>29</v>
      </c>
    </row>
    <row r="69" spans="1:8" x14ac:dyDescent="0.3">
      <c r="A69">
        <v>68</v>
      </c>
      <c r="B69" t="s">
        <v>360</v>
      </c>
      <c r="C69" t="s">
        <v>196</v>
      </c>
      <c r="D69" t="s">
        <v>361</v>
      </c>
      <c r="E69" t="s">
        <v>362</v>
      </c>
      <c r="F69">
        <v>5.5</v>
      </c>
      <c r="G69" t="s">
        <v>199</v>
      </c>
      <c r="H69">
        <v>30</v>
      </c>
    </row>
    <row r="70" spans="1:8" x14ac:dyDescent="0.3">
      <c r="A70">
        <v>69</v>
      </c>
      <c r="B70" t="s">
        <v>363</v>
      </c>
      <c r="C70" t="s">
        <v>201</v>
      </c>
      <c r="D70" t="s">
        <v>202</v>
      </c>
      <c r="E70" t="s">
        <v>364</v>
      </c>
      <c r="F70">
        <v>3.2</v>
      </c>
      <c r="G70" t="s">
        <v>206</v>
      </c>
      <c r="H70">
        <v>30</v>
      </c>
    </row>
    <row r="71" spans="1:8" x14ac:dyDescent="0.3">
      <c r="A71">
        <v>70</v>
      </c>
      <c r="B71" t="s">
        <v>365</v>
      </c>
      <c r="C71" t="s">
        <v>238</v>
      </c>
      <c r="E71" t="s">
        <v>366</v>
      </c>
      <c r="F71">
        <v>2.4</v>
      </c>
      <c r="G71" t="s">
        <v>199</v>
      </c>
      <c r="H71">
        <v>30</v>
      </c>
    </row>
    <row r="72" spans="1:8" x14ac:dyDescent="0.3">
      <c r="A72">
        <v>71</v>
      </c>
      <c r="B72" t="s">
        <v>367</v>
      </c>
      <c r="C72" t="s">
        <v>196</v>
      </c>
      <c r="D72" t="s">
        <v>368</v>
      </c>
      <c r="E72" t="s">
        <v>369</v>
      </c>
      <c r="F72">
        <v>24.5</v>
      </c>
      <c r="G72" t="s">
        <v>199</v>
      </c>
      <c r="H72">
        <v>21</v>
      </c>
    </row>
    <row r="73" spans="1:8" x14ac:dyDescent="0.3">
      <c r="A73">
        <v>72</v>
      </c>
      <c r="B73" t="s">
        <v>370</v>
      </c>
      <c r="C73" t="s">
        <v>201</v>
      </c>
      <c r="D73" t="s">
        <v>271</v>
      </c>
      <c r="E73" t="s">
        <v>371</v>
      </c>
      <c r="F73">
        <v>5.0999999999999996</v>
      </c>
      <c r="G73" t="s">
        <v>206</v>
      </c>
      <c r="H73">
        <v>22</v>
      </c>
    </row>
    <row r="74" spans="1:8" x14ac:dyDescent="0.3">
      <c r="A74">
        <v>73</v>
      </c>
      <c r="B74" t="s">
        <v>372</v>
      </c>
      <c r="C74" t="s">
        <v>196</v>
      </c>
      <c r="D74" t="s">
        <v>373</v>
      </c>
      <c r="E74" t="s">
        <v>374</v>
      </c>
      <c r="F74">
        <v>34</v>
      </c>
      <c r="G74" t="s">
        <v>199</v>
      </c>
      <c r="H74">
        <v>23</v>
      </c>
    </row>
    <row r="75" spans="1:8" x14ac:dyDescent="0.3">
      <c r="A75">
        <v>74</v>
      </c>
      <c r="B75" t="s">
        <v>375</v>
      </c>
      <c r="C75" t="s">
        <v>274</v>
      </c>
      <c r="E75" t="s">
        <v>376</v>
      </c>
      <c r="F75">
        <v>0.45</v>
      </c>
      <c r="G75" t="s">
        <v>206</v>
      </c>
      <c r="H75">
        <v>24</v>
      </c>
    </row>
    <row r="76" spans="1:8" x14ac:dyDescent="0.3">
      <c r="A76">
        <v>75</v>
      </c>
      <c r="B76" t="s">
        <v>377</v>
      </c>
      <c r="C76" t="s">
        <v>201</v>
      </c>
      <c r="D76" t="s">
        <v>228</v>
      </c>
      <c r="E76" t="s">
        <v>236</v>
      </c>
      <c r="F76">
        <v>4.3</v>
      </c>
      <c r="G76" t="s">
        <v>206</v>
      </c>
      <c r="H76">
        <v>25</v>
      </c>
    </row>
    <row r="77" spans="1:8" x14ac:dyDescent="0.3">
      <c r="A77">
        <v>76</v>
      </c>
      <c r="B77" t="s">
        <v>378</v>
      </c>
      <c r="C77" t="s">
        <v>196</v>
      </c>
      <c r="D77" t="s">
        <v>233</v>
      </c>
      <c r="E77" t="s">
        <v>239</v>
      </c>
      <c r="F77">
        <v>12.8</v>
      </c>
      <c r="G77" t="s">
        <v>199</v>
      </c>
      <c r="H77">
        <v>26</v>
      </c>
    </row>
    <row r="78" spans="1:8" x14ac:dyDescent="0.3">
      <c r="A78">
        <v>77</v>
      </c>
      <c r="B78" t="s">
        <v>379</v>
      </c>
      <c r="C78" t="s">
        <v>196</v>
      </c>
      <c r="D78" t="s">
        <v>380</v>
      </c>
      <c r="E78" t="s">
        <v>381</v>
      </c>
      <c r="F78">
        <v>18.600000000000001</v>
      </c>
      <c r="G78" t="s">
        <v>199</v>
      </c>
      <c r="H78">
        <v>27</v>
      </c>
    </row>
    <row r="79" spans="1:8" x14ac:dyDescent="0.3">
      <c r="A79">
        <v>78</v>
      </c>
      <c r="B79" t="s">
        <v>382</v>
      </c>
      <c r="C79" t="s">
        <v>196</v>
      </c>
      <c r="D79" t="s">
        <v>309</v>
      </c>
      <c r="E79" t="s">
        <v>383</v>
      </c>
      <c r="F79">
        <v>3.3</v>
      </c>
      <c r="G79" t="s">
        <v>384</v>
      </c>
      <c r="H79"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workbookViewId="0">
      <selection activeCell="G1" sqref="G1:G1048576"/>
    </sheetView>
  </sheetViews>
  <sheetFormatPr defaultRowHeight="14.4" x14ac:dyDescent="0.3"/>
  <cols>
    <col min="1" max="1" width="8.44140625" bestFit="1" customWidth="1"/>
    <col min="2" max="2" width="12.21875" bestFit="1" customWidth="1"/>
    <col min="3" max="3" width="11.88671875" bestFit="1" customWidth="1"/>
    <col min="4" max="4" width="17.6640625" bestFit="1" customWidth="1"/>
    <col min="5" max="5" width="10" bestFit="1" customWidth="1"/>
    <col min="6" max="6" width="11.21875" bestFit="1" customWidth="1"/>
    <col min="7" max="7" width="16.5546875" customWidth="1"/>
    <col min="11" max="11" width="29.77734375" bestFit="1" customWidth="1"/>
    <col min="12" max="12" width="12.6640625" bestFit="1" customWidth="1"/>
  </cols>
  <sheetData>
    <row r="1" spans="1:12" x14ac:dyDescent="0.3">
      <c r="A1" t="s">
        <v>385</v>
      </c>
      <c r="B1" t="s">
        <v>1</v>
      </c>
      <c r="C1" t="s">
        <v>2</v>
      </c>
      <c r="D1" t="s">
        <v>386</v>
      </c>
      <c r="E1" t="s">
        <v>3</v>
      </c>
      <c r="F1" t="s">
        <v>387</v>
      </c>
      <c r="G1" t="s">
        <v>998</v>
      </c>
    </row>
    <row r="2" spans="1:12" x14ac:dyDescent="0.3">
      <c r="A2">
        <v>1</v>
      </c>
      <c r="B2" t="s">
        <v>388</v>
      </c>
      <c r="C2" t="s">
        <v>16</v>
      </c>
      <c r="D2" t="s">
        <v>389</v>
      </c>
      <c r="E2" t="s">
        <v>390</v>
      </c>
      <c r="F2" t="s">
        <v>391</v>
      </c>
      <c r="G2" t="str">
        <f xml:space="preserve"> Vets[[#This Row],[first_name]] &amp; " " &amp; Vets[[#This Row],[last_name]]</f>
        <v>Marek Nowak</v>
      </c>
    </row>
    <row r="3" spans="1:12" x14ac:dyDescent="0.3">
      <c r="A3">
        <v>2</v>
      </c>
      <c r="B3" t="s">
        <v>392</v>
      </c>
      <c r="C3" t="s">
        <v>393</v>
      </c>
      <c r="D3" t="s">
        <v>394</v>
      </c>
      <c r="E3" t="s">
        <v>395</v>
      </c>
      <c r="F3" t="s">
        <v>396</v>
      </c>
      <c r="G3" t="str">
        <f xml:space="preserve"> Vets[[#This Row],[first_name]] &amp; " " &amp; Vets[[#This Row],[last_name]]</f>
        <v>Ewa Lis</v>
      </c>
    </row>
    <row r="4" spans="1:12" x14ac:dyDescent="0.3">
      <c r="A4">
        <v>3</v>
      </c>
      <c r="B4" t="s">
        <v>40</v>
      </c>
      <c r="C4" t="s">
        <v>397</v>
      </c>
      <c r="D4" t="s">
        <v>398</v>
      </c>
      <c r="E4" t="s">
        <v>399</v>
      </c>
      <c r="F4" t="s">
        <v>400</v>
      </c>
      <c r="G4" t="str">
        <f xml:space="preserve"> Vets[[#This Row],[first_name]] &amp; " " &amp; Vets[[#This Row],[last_name]]</f>
        <v>Tomasz Kaczmarek</v>
      </c>
      <c r="K4" s="4" t="s">
        <v>1000</v>
      </c>
      <c r="L4" t="s">
        <v>999</v>
      </c>
    </row>
    <row r="5" spans="1:12" x14ac:dyDescent="0.3">
      <c r="A5">
        <v>4</v>
      </c>
      <c r="B5" t="s">
        <v>15</v>
      </c>
      <c r="C5" t="s">
        <v>35</v>
      </c>
      <c r="D5" t="s">
        <v>401</v>
      </c>
      <c r="E5" t="s">
        <v>402</v>
      </c>
      <c r="F5" t="s">
        <v>403</v>
      </c>
      <c r="G5" t="str">
        <f xml:space="preserve"> Vets[[#This Row],[first_name]] &amp; " " &amp; Vets[[#This Row],[last_name]]</f>
        <v>Anna Wójcik</v>
      </c>
      <c r="K5" s="2" t="s">
        <v>15</v>
      </c>
      <c r="L5" s="3">
        <v>4</v>
      </c>
    </row>
    <row r="6" spans="1:12" x14ac:dyDescent="0.3">
      <c r="A6">
        <v>5</v>
      </c>
      <c r="B6" t="s">
        <v>404</v>
      </c>
      <c r="C6" t="s">
        <v>28</v>
      </c>
      <c r="D6" t="s">
        <v>405</v>
      </c>
      <c r="E6" t="s">
        <v>406</v>
      </c>
      <c r="F6" t="s">
        <v>209</v>
      </c>
      <c r="G6" t="str">
        <f xml:space="preserve"> Vets[[#This Row],[first_name]] &amp; " " &amp; Vets[[#This Row],[last_name]]</f>
        <v>Paweł Mazur</v>
      </c>
      <c r="K6" s="5" t="s">
        <v>35</v>
      </c>
      <c r="L6" s="3">
        <v>4</v>
      </c>
    </row>
    <row r="7" spans="1:12" x14ac:dyDescent="0.3">
      <c r="A7">
        <v>6</v>
      </c>
      <c r="B7" t="s">
        <v>407</v>
      </c>
      <c r="C7" t="s">
        <v>408</v>
      </c>
      <c r="D7" t="s">
        <v>409</v>
      </c>
      <c r="E7" t="s">
        <v>410</v>
      </c>
      <c r="F7" t="s">
        <v>411</v>
      </c>
      <c r="G7" t="str">
        <f xml:space="preserve"> Vets[[#This Row],[first_name]] &amp; " " &amp; Vets[[#This Row],[last_name]]</f>
        <v>Janusz Szymański</v>
      </c>
      <c r="K7" s="6" t="s">
        <v>403</v>
      </c>
      <c r="L7" s="3">
        <v>4</v>
      </c>
    </row>
    <row r="8" spans="1:12" x14ac:dyDescent="0.3">
      <c r="K8" s="7" t="s">
        <v>1002</v>
      </c>
      <c r="L8" s="3">
        <v>4</v>
      </c>
    </row>
    <row r="9" spans="1:12" x14ac:dyDescent="0.3">
      <c r="K9" s="8" t="s">
        <v>402</v>
      </c>
      <c r="L9" s="3">
        <v>4</v>
      </c>
    </row>
    <row r="10" spans="1:12" x14ac:dyDescent="0.3">
      <c r="K10" s="9" t="s">
        <v>401</v>
      </c>
      <c r="L10" s="3">
        <v>4</v>
      </c>
    </row>
    <row r="11" spans="1:12" x14ac:dyDescent="0.3">
      <c r="K11" s="2" t="s">
        <v>392</v>
      </c>
      <c r="L11" s="3">
        <v>2</v>
      </c>
    </row>
    <row r="12" spans="1:12" x14ac:dyDescent="0.3">
      <c r="K12" s="5" t="s">
        <v>393</v>
      </c>
      <c r="L12" s="3">
        <v>2</v>
      </c>
    </row>
    <row r="13" spans="1:12" x14ac:dyDescent="0.3">
      <c r="K13" s="6" t="s">
        <v>396</v>
      </c>
      <c r="L13" s="3">
        <v>2</v>
      </c>
    </row>
    <row r="14" spans="1:12" x14ac:dyDescent="0.3">
      <c r="K14" s="7" t="s">
        <v>1003</v>
      </c>
      <c r="L14" s="3">
        <v>2</v>
      </c>
    </row>
    <row r="15" spans="1:12" x14ac:dyDescent="0.3">
      <c r="K15" s="8" t="s">
        <v>395</v>
      </c>
      <c r="L15" s="3">
        <v>2</v>
      </c>
    </row>
    <row r="16" spans="1:12" x14ac:dyDescent="0.3">
      <c r="K16" s="9" t="s">
        <v>394</v>
      </c>
      <c r="L16" s="3">
        <v>2</v>
      </c>
    </row>
    <row r="17" spans="11:12" x14ac:dyDescent="0.3">
      <c r="K17" s="2" t="s">
        <v>407</v>
      </c>
      <c r="L17" s="3">
        <v>6</v>
      </c>
    </row>
    <row r="18" spans="11:12" x14ac:dyDescent="0.3">
      <c r="K18" s="5" t="s">
        <v>408</v>
      </c>
      <c r="L18" s="3">
        <v>6</v>
      </c>
    </row>
    <row r="19" spans="11:12" x14ac:dyDescent="0.3">
      <c r="K19" s="6" t="s">
        <v>411</v>
      </c>
      <c r="L19" s="3">
        <v>6</v>
      </c>
    </row>
    <row r="20" spans="11:12" x14ac:dyDescent="0.3">
      <c r="K20" s="7" t="s">
        <v>1004</v>
      </c>
      <c r="L20" s="3">
        <v>6</v>
      </c>
    </row>
    <row r="21" spans="11:12" x14ac:dyDescent="0.3">
      <c r="K21" s="8" t="s">
        <v>410</v>
      </c>
      <c r="L21" s="3">
        <v>6</v>
      </c>
    </row>
    <row r="22" spans="11:12" x14ac:dyDescent="0.3">
      <c r="K22" s="9" t="s">
        <v>409</v>
      </c>
      <c r="L22" s="3">
        <v>6</v>
      </c>
    </row>
    <row r="23" spans="11:12" x14ac:dyDescent="0.3">
      <c r="K23" s="2" t="s">
        <v>388</v>
      </c>
      <c r="L23" s="3">
        <v>1</v>
      </c>
    </row>
    <row r="24" spans="11:12" x14ac:dyDescent="0.3">
      <c r="K24" s="5" t="s">
        <v>16</v>
      </c>
      <c r="L24" s="3">
        <v>1</v>
      </c>
    </row>
    <row r="25" spans="11:12" x14ac:dyDescent="0.3">
      <c r="K25" s="6" t="s">
        <v>391</v>
      </c>
      <c r="L25" s="3">
        <v>1</v>
      </c>
    </row>
    <row r="26" spans="11:12" x14ac:dyDescent="0.3">
      <c r="K26" s="7" t="s">
        <v>1005</v>
      </c>
      <c r="L26" s="3">
        <v>1</v>
      </c>
    </row>
    <row r="27" spans="11:12" x14ac:dyDescent="0.3">
      <c r="K27" s="8" t="s">
        <v>390</v>
      </c>
      <c r="L27" s="3">
        <v>1</v>
      </c>
    </row>
    <row r="28" spans="11:12" x14ac:dyDescent="0.3">
      <c r="K28" s="9" t="s">
        <v>389</v>
      </c>
      <c r="L28" s="3">
        <v>1</v>
      </c>
    </row>
    <row r="29" spans="11:12" x14ac:dyDescent="0.3">
      <c r="K29" s="2" t="s">
        <v>404</v>
      </c>
      <c r="L29" s="3">
        <v>5</v>
      </c>
    </row>
    <row r="30" spans="11:12" x14ac:dyDescent="0.3">
      <c r="K30" s="5" t="s">
        <v>28</v>
      </c>
      <c r="L30" s="3">
        <v>5</v>
      </c>
    </row>
    <row r="31" spans="11:12" x14ac:dyDescent="0.3">
      <c r="K31" s="6" t="s">
        <v>209</v>
      </c>
      <c r="L31" s="3">
        <v>5</v>
      </c>
    </row>
    <row r="32" spans="11:12" x14ac:dyDescent="0.3">
      <c r="K32" s="7" t="s">
        <v>1006</v>
      </c>
      <c r="L32" s="3">
        <v>5</v>
      </c>
    </row>
    <row r="33" spans="11:12" x14ac:dyDescent="0.3">
      <c r="K33" s="8" t="s">
        <v>406</v>
      </c>
      <c r="L33" s="3">
        <v>5</v>
      </c>
    </row>
    <row r="34" spans="11:12" x14ac:dyDescent="0.3">
      <c r="K34" s="9" t="s">
        <v>405</v>
      </c>
      <c r="L34" s="3">
        <v>5</v>
      </c>
    </row>
    <row r="35" spans="11:12" x14ac:dyDescent="0.3">
      <c r="K35" s="2" t="s">
        <v>40</v>
      </c>
      <c r="L35" s="3">
        <v>3</v>
      </c>
    </row>
    <row r="36" spans="11:12" x14ac:dyDescent="0.3">
      <c r="K36" s="5" t="s">
        <v>397</v>
      </c>
      <c r="L36" s="3">
        <v>3</v>
      </c>
    </row>
    <row r="37" spans="11:12" x14ac:dyDescent="0.3">
      <c r="K37" s="6" t="s">
        <v>400</v>
      </c>
      <c r="L37" s="3">
        <v>3</v>
      </c>
    </row>
    <row r="38" spans="11:12" x14ac:dyDescent="0.3">
      <c r="K38" s="7" t="s">
        <v>1007</v>
      </c>
      <c r="L38" s="3">
        <v>3</v>
      </c>
    </row>
    <row r="39" spans="11:12" x14ac:dyDescent="0.3">
      <c r="K39" s="8" t="s">
        <v>399</v>
      </c>
      <c r="L39" s="3">
        <v>3</v>
      </c>
    </row>
    <row r="40" spans="11:12" x14ac:dyDescent="0.3">
      <c r="K40" s="9" t="s">
        <v>398</v>
      </c>
      <c r="L40" s="3">
        <v>3</v>
      </c>
    </row>
    <row r="41" spans="11:12" x14ac:dyDescent="0.3">
      <c r="K41" s="2" t="s">
        <v>1001</v>
      </c>
      <c r="L41" s="3">
        <v>21</v>
      </c>
    </row>
  </sheetData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87"/>
  <sheetViews>
    <sheetView workbookViewId="0">
      <selection activeCell="B1" sqref="B1:B1048576"/>
    </sheetView>
  </sheetViews>
  <sheetFormatPr defaultRowHeight="14.4" x14ac:dyDescent="0.3"/>
  <cols>
    <col min="1" max="1" width="9.109375" bestFit="1" customWidth="1"/>
    <col min="2" max="2" width="11.44140625" bestFit="1" customWidth="1"/>
    <col min="3" max="3" width="8.44140625" bestFit="1" customWidth="1"/>
    <col min="4" max="4" width="15.21875" bestFit="1" customWidth="1"/>
    <col min="5" max="5" width="25.109375" bestFit="1" customWidth="1"/>
    <col min="6" max="6" width="59.88671875" bestFit="1" customWidth="1"/>
    <col min="7" max="7" width="11.77734375" bestFit="1" customWidth="1"/>
    <col min="8" max="8" width="8.77734375" bestFit="1" customWidth="1"/>
  </cols>
  <sheetData>
    <row r="1" spans="1:8" x14ac:dyDescent="0.3">
      <c r="A1" t="s">
        <v>412</v>
      </c>
      <c r="B1" t="s">
        <v>188</v>
      </c>
      <c r="C1" t="s">
        <v>385</v>
      </c>
      <c r="D1" t="s">
        <v>413</v>
      </c>
      <c r="E1" t="s">
        <v>414</v>
      </c>
      <c r="F1" t="s">
        <v>415</v>
      </c>
      <c r="G1" t="s">
        <v>416</v>
      </c>
      <c r="H1" t="s">
        <v>1008</v>
      </c>
    </row>
    <row r="2" spans="1:8" x14ac:dyDescent="0.3">
      <c r="A2">
        <v>1</v>
      </c>
      <c r="B2">
        <v>1</v>
      </c>
      <c r="C2">
        <v>5</v>
      </c>
      <c r="D2" s="1">
        <v>45757.416666666664</v>
      </c>
      <c r="E2" t="s">
        <v>417</v>
      </c>
      <c r="F2" t="s">
        <v>418</v>
      </c>
      <c r="G2" t="s">
        <v>419</v>
      </c>
      <c r="H2" t="str">
        <f t="shared" ref="H2:H33" si="0">IF(AND(B2&lt;&gt;"",G2="zakończona"),"TAK","NIE")</f>
        <v>TAK</v>
      </c>
    </row>
    <row r="3" spans="1:8" x14ac:dyDescent="0.3">
      <c r="A3">
        <v>2</v>
      </c>
      <c r="B3">
        <v>2</v>
      </c>
      <c r="C3">
        <v>2</v>
      </c>
      <c r="D3" s="1">
        <v>45758.5</v>
      </c>
      <c r="E3" t="s">
        <v>420</v>
      </c>
      <c r="F3" t="s">
        <v>421</v>
      </c>
      <c r="G3" t="s">
        <v>419</v>
      </c>
      <c r="H3" t="str">
        <f t="shared" si="0"/>
        <v>TAK</v>
      </c>
    </row>
    <row r="4" spans="1:8" x14ac:dyDescent="0.3">
      <c r="A4">
        <v>3</v>
      </c>
      <c r="B4">
        <v>3</v>
      </c>
      <c r="C4">
        <v>1</v>
      </c>
      <c r="D4" s="1">
        <v>45762.375</v>
      </c>
      <c r="E4" t="s">
        <v>422</v>
      </c>
      <c r="G4" t="s">
        <v>419</v>
      </c>
      <c r="H4" t="str">
        <f t="shared" si="0"/>
        <v>TAK</v>
      </c>
    </row>
    <row r="5" spans="1:8" x14ac:dyDescent="0.3">
      <c r="A5">
        <v>4</v>
      </c>
      <c r="B5">
        <v>4</v>
      </c>
      <c r="C5">
        <v>3</v>
      </c>
      <c r="D5" s="1">
        <v>45763.458333333336</v>
      </c>
      <c r="E5" t="s">
        <v>423</v>
      </c>
      <c r="F5" t="s">
        <v>424</v>
      </c>
      <c r="G5" t="s">
        <v>419</v>
      </c>
      <c r="H5" t="str">
        <f t="shared" si="0"/>
        <v>TAK</v>
      </c>
    </row>
    <row r="6" spans="1:8" x14ac:dyDescent="0.3">
      <c r="A6">
        <v>5</v>
      </c>
      <c r="B6">
        <v>5</v>
      </c>
      <c r="C6">
        <v>1</v>
      </c>
      <c r="D6" s="1">
        <v>45793.541666666664</v>
      </c>
      <c r="E6" t="s">
        <v>425</v>
      </c>
      <c r="F6" t="s">
        <v>426</v>
      </c>
      <c r="G6" t="s">
        <v>419</v>
      </c>
      <c r="H6" t="str">
        <f t="shared" si="0"/>
        <v>TAK</v>
      </c>
    </row>
    <row r="7" spans="1:8" hidden="1" x14ac:dyDescent="0.3">
      <c r="A7">
        <v>6</v>
      </c>
      <c r="B7">
        <v>6</v>
      </c>
      <c r="D7" s="1">
        <v>45795.583333333336</v>
      </c>
      <c r="E7" t="s">
        <v>427</v>
      </c>
      <c r="G7" t="s">
        <v>428</v>
      </c>
      <c r="H7" t="str">
        <f t="shared" si="0"/>
        <v>NIE</v>
      </c>
    </row>
    <row r="8" spans="1:8" x14ac:dyDescent="0.3">
      <c r="A8">
        <v>7</v>
      </c>
      <c r="B8">
        <v>7</v>
      </c>
      <c r="C8">
        <v>4</v>
      </c>
      <c r="D8" s="1">
        <v>45793.458333333336</v>
      </c>
      <c r="E8" t="s">
        <v>429</v>
      </c>
      <c r="F8" t="s">
        <v>430</v>
      </c>
      <c r="G8" t="s">
        <v>419</v>
      </c>
      <c r="H8" t="str">
        <f t="shared" si="0"/>
        <v>TAK</v>
      </c>
    </row>
    <row r="9" spans="1:8" hidden="1" x14ac:dyDescent="0.3">
      <c r="A9">
        <v>8</v>
      </c>
      <c r="B9">
        <v>8</v>
      </c>
      <c r="C9">
        <v>4</v>
      </c>
      <c r="D9" s="1">
        <v>45795.583333333336</v>
      </c>
      <c r="E9" t="s">
        <v>427</v>
      </c>
      <c r="G9" t="s">
        <v>428</v>
      </c>
      <c r="H9" t="str">
        <f t="shared" si="0"/>
        <v>NIE</v>
      </c>
    </row>
    <row r="10" spans="1:8" x14ac:dyDescent="0.3">
      <c r="A10">
        <v>9</v>
      </c>
      <c r="B10">
        <v>9</v>
      </c>
      <c r="C10">
        <v>3</v>
      </c>
      <c r="D10" s="1">
        <v>45793.458333333336</v>
      </c>
      <c r="E10" t="s">
        <v>423</v>
      </c>
      <c r="F10" t="s">
        <v>431</v>
      </c>
      <c r="G10" t="s">
        <v>419</v>
      </c>
      <c r="H10" t="str">
        <f t="shared" si="0"/>
        <v>TAK</v>
      </c>
    </row>
    <row r="11" spans="1:8" x14ac:dyDescent="0.3">
      <c r="A11">
        <v>10</v>
      </c>
      <c r="B11">
        <v>10</v>
      </c>
      <c r="C11">
        <v>1</v>
      </c>
      <c r="D11" s="1">
        <v>45795.583333333336</v>
      </c>
      <c r="E11" t="s">
        <v>427</v>
      </c>
      <c r="G11" t="s">
        <v>419</v>
      </c>
      <c r="H11" t="str">
        <f t="shared" si="0"/>
        <v>TAK</v>
      </c>
    </row>
    <row r="12" spans="1:8" x14ac:dyDescent="0.3">
      <c r="A12">
        <v>11</v>
      </c>
      <c r="B12">
        <v>11</v>
      </c>
      <c r="C12">
        <v>5</v>
      </c>
      <c r="D12" s="1">
        <v>45797.5625</v>
      </c>
      <c r="E12" t="s">
        <v>427</v>
      </c>
      <c r="F12" t="s">
        <v>418</v>
      </c>
      <c r="G12" t="s">
        <v>419</v>
      </c>
      <c r="H12" t="str">
        <f t="shared" si="0"/>
        <v>TAK</v>
      </c>
    </row>
    <row r="13" spans="1:8" x14ac:dyDescent="0.3">
      <c r="A13">
        <v>12</v>
      </c>
      <c r="B13">
        <v>12</v>
      </c>
      <c r="C13">
        <v>5</v>
      </c>
      <c r="D13" s="1">
        <v>45798.416666666664</v>
      </c>
      <c r="E13" t="s">
        <v>417</v>
      </c>
      <c r="G13" t="s">
        <v>419</v>
      </c>
      <c r="H13" t="str">
        <f t="shared" si="0"/>
        <v>TAK</v>
      </c>
    </row>
    <row r="14" spans="1:8" x14ac:dyDescent="0.3">
      <c r="A14">
        <v>13</v>
      </c>
      <c r="B14">
        <v>13</v>
      </c>
      <c r="C14">
        <v>1</v>
      </c>
      <c r="D14" s="1">
        <v>45798.479166666664</v>
      </c>
      <c r="E14" t="s">
        <v>432</v>
      </c>
      <c r="F14" t="s">
        <v>433</v>
      </c>
      <c r="G14" t="s">
        <v>419</v>
      </c>
      <c r="H14" t="str">
        <f t="shared" si="0"/>
        <v>TAK</v>
      </c>
    </row>
    <row r="15" spans="1:8" x14ac:dyDescent="0.3">
      <c r="A15">
        <v>14</v>
      </c>
      <c r="B15">
        <v>4</v>
      </c>
      <c r="C15">
        <v>3</v>
      </c>
      <c r="D15" s="1">
        <v>45799.416666666664</v>
      </c>
      <c r="E15" t="s">
        <v>434</v>
      </c>
      <c r="F15" t="s">
        <v>424</v>
      </c>
      <c r="G15" t="s">
        <v>419</v>
      </c>
      <c r="H15" t="str">
        <f t="shared" si="0"/>
        <v>TAK</v>
      </c>
    </row>
    <row r="16" spans="1:8" x14ac:dyDescent="0.3">
      <c r="A16">
        <v>15</v>
      </c>
      <c r="B16">
        <v>9</v>
      </c>
      <c r="C16">
        <v>1</v>
      </c>
      <c r="D16" s="1">
        <v>45799.458333333336</v>
      </c>
      <c r="E16" t="s">
        <v>434</v>
      </c>
      <c r="F16" t="s">
        <v>431</v>
      </c>
      <c r="G16" t="s">
        <v>419</v>
      </c>
      <c r="H16" t="str">
        <f t="shared" si="0"/>
        <v>TAK</v>
      </c>
    </row>
    <row r="17" spans="1:8" x14ac:dyDescent="0.3">
      <c r="A17">
        <v>16</v>
      </c>
      <c r="B17">
        <v>5</v>
      </c>
      <c r="C17">
        <v>1</v>
      </c>
      <c r="D17" s="1">
        <v>45799.5</v>
      </c>
      <c r="E17" t="s">
        <v>435</v>
      </c>
      <c r="G17" t="s">
        <v>419</v>
      </c>
      <c r="H17" t="str">
        <f t="shared" si="0"/>
        <v>TAK</v>
      </c>
    </row>
    <row r="18" spans="1:8" x14ac:dyDescent="0.3">
      <c r="A18">
        <v>17</v>
      </c>
      <c r="B18">
        <v>14</v>
      </c>
      <c r="C18">
        <v>1</v>
      </c>
      <c r="D18" s="1">
        <v>45749.375</v>
      </c>
      <c r="E18" t="s">
        <v>417</v>
      </c>
      <c r="F18" t="s">
        <v>436</v>
      </c>
      <c r="G18" t="s">
        <v>419</v>
      </c>
      <c r="H18" t="str">
        <f t="shared" si="0"/>
        <v>TAK</v>
      </c>
    </row>
    <row r="19" spans="1:8" x14ac:dyDescent="0.3">
      <c r="A19">
        <v>18</v>
      </c>
      <c r="B19">
        <v>15</v>
      </c>
      <c r="C19">
        <v>2</v>
      </c>
      <c r="D19" s="1">
        <v>45749.4375</v>
      </c>
      <c r="E19" t="s">
        <v>437</v>
      </c>
      <c r="F19" t="s">
        <v>438</v>
      </c>
      <c r="G19" t="s">
        <v>419</v>
      </c>
      <c r="H19" t="str">
        <f t="shared" si="0"/>
        <v>TAK</v>
      </c>
    </row>
    <row r="20" spans="1:8" x14ac:dyDescent="0.3">
      <c r="A20">
        <v>19</v>
      </c>
      <c r="B20">
        <v>16</v>
      </c>
      <c r="C20">
        <v>3</v>
      </c>
      <c r="D20" s="1">
        <v>45750.458333333336</v>
      </c>
      <c r="E20" t="s">
        <v>439</v>
      </c>
      <c r="F20" t="s">
        <v>440</v>
      </c>
      <c r="G20" t="s">
        <v>419</v>
      </c>
      <c r="H20" t="str">
        <f t="shared" si="0"/>
        <v>TAK</v>
      </c>
    </row>
    <row r="21" spans="1:8" x14ac:dyDescent="0.3">
      <c r="A21">
        <v>20</v>
      </c>
      <c r="B21">
        <v>17</v>
      </c>
      <c r="C21">
        <v>1</v>
      </c>
      <c r="D21" s="1">
        <v>45750.5</v>
      </c>
      <c r="E21" t="s">
        <v>441</v>
      </c>
      <c r="F21" t="s">
        <v>442</v>
      </c>
      <c r="G21" t="s">
        <v>419</v>
      </c>
      <c r="H21" t="str">
        <f t="shared" si="0"/>
        <v>TAK</v>
      </c>
    </row>
    <row r="22" spans="1:8" x14ac:dyDescent="0.3">
      <c r="A22">
        <v>21</v>
      </c>
      <c r="B22">
        <v>18</v>
      </c>
      <c r="C22">
        <v>4</v>
      </c>
      <c r="D22" s="1">
        <v>45751.395833333336</v>
      </c>
      <c r="E22" t="s">
        <v>427</v>
      </c>
      <c r="F22" t="s">
        <v>443</v>
      </c>
      <c r="G22" t="s">
        <v>419</v>
      </c>
      <c r="H22" t="str">
        <f t="shared" si="0"/>
        <v>TAK</v>
      </c>
    </row>
    <row r="23" spans="1:8" x14ac:dyDescent="0.3">
      <c r="A23">
        <v>22</v>
      </c>
      <c r="B23">
        <v>19</v>
      </c>
      <c r="C23">
        <v>5</v>
      </c>
      <c r="D23" s="1">
        <v>45751.458333333336</v>
      </c>
      <c r="E23" t="s">
        <v>417</v>
      </c>
      <c r="F23" t="s">
        <v>444</v>
      </c>
      <c r="G23" t="s">
        <v>419</v>
      </c>
      <c r="H23" t="str">
        <f t="shared" si="0"/>
        <v>TAK</v>
      </c>
    </row>
    <row r="24" spans="1:8" x14ac:dyDescent="0.3">
      <c r="A24">
        <v>23</v>
      </c>
      <c r="B24">
        <v>20</v>
      </c>
      <c r="C24">
        <v>2</v>
      </c>
      <c r="D24" s="1">
        <v>45754.416666666664</v>
      </c>
      <c r="E24" t="s">
        <v>420</v>
      </c>
      <c r="F24" t="s">
        <v>445</v>
      </c>
      <c r="G24" t="s">
        <v>419</v>
      </c>
      <c r="H24" t="str">
        <f t="shared" si="0"/>
        <v>TAK</v>
      </c>
    </row>
    <row r="25" spans="1:8" x14ac:dyDescent="0.3">
      <c r="A25">
        <v>24</v>
      </c>
      <c r="B25">
        <v>21</v>
      </c>
      <c r="C25">
        <v>3</v>
      </c>
      <c r="D25" s="1">
        <v>45754.541666666664</v>
      </c>
      <c r="E25" t="s">
        <v>423</v>
      </c>
      <c r="F25" t="s">
        <v>446</v>
      </c>
      <c r="G25" t="s">
        <v>419</v>
      </c>
      <c r="H25" t="str">
        <f t="shared" si="0"/>
        <v>TAK</v>
      </c>
    </row>
    <row r="26" spans="1:8" x14ac:dyDescent="0.3">
      <c r="A26">
        <v>25</v>
      </c>
      <c r="B26">
        <v>22</v>
      </c>
      <c r="C26">
        <v>6</v>
      </c>
      <c r="D26" s="1">
        <v>45755.375</v>
      </c>
      <c r="E26" t="s">
        <v>447</v>
      </c>
      <c r="F26" t="s">
        <v>448</v>
      </c>
      <c r="G26" t="s">
        <v>419</v>
      </c>
      <c r="H26" t="str">
        <f t="shared" si="0"/>
        <v>TAK</v>
      </c>
    </row>
    <row r="27" spans="1:8" x14ac:dyDescent="0.3">
      <c r="A27">
        <v>26</v>
      </c>
      <c r="B27">
        <v>23</v>
      </c>
      <c r="C27">
        <v>1</v>
      </c>
      <c r="D27" s="1">
        <v>45755.4375</v>
      </c>
      <c r="E27" t="s">
        <v>449</v>
      </c>
      <c r="F27" t="s">
        <v>450</v>
      </c>
      <c r="G27" t="s">
        <v>419</v>
      </c>
      <c r="H27" t="str">
        <f t="shared" si="0"/>
        <v>TAK</v>
      </c>
    </row>
    <row r="28" spans="1:8" x14ac:dyDescent="0.3">
      <c r="A28">
        <v>27</v>
      </c>
      <c r="B28">
        <v>24</v>
      </c>
      <c r="C28">
        <v>4</v>
      </c>
      <c r="D28" s="1">
        <v>45756.458333333336</v>
      </c>
      <c r="E28" t="s">
        <v>429</v>
      </c>
      <c r="F28" t="s">
        <v>451</v>
      </c>
      <c r="G28" t="s">
        <v>419</v>
      </c>
      <c r="H28" t="str">
        <f t="shared" si="0"/>
        <v>TAK</v>
      </c>
    </row>
    <row r="29" spans="1:8" x14ac:dyDescent="0.3">
      <c r="A29">
        <v>28</v>
      </c>
      <c r="B29">
        <v>25</v>
      </c>
      <c r="C29">
        <v>2</v>
      </c>
      <c r="D29" s="1">
        <v>45756.520833333336</v>
      </c>
      <c r="E29" t="s">
        <v>422</v>
      </c>
      <c r="F29" t="s">
        <v>452</v>
      </c>
      <c r="G29" t="s">
        <v>419</v>
      </c>
      <c r="H29" t="str">
        <f t="shared" si="0"/>
        <v>TAK</v>
      </c>
    </row>
    <row r="30" spans="1:8" x14ac:dyDescent="0.3">
      <c r="A30">
        <v>29</v>
      </c>
      <c r="B30">
        <v>26</v>
      </c>
      <c r="C30">
        <v>5</v>
      </c>
      <c r="D30" s="1">
        <v>45757.375</v>
      </c>
      <c r="E30" t="s">
        <v>453</v>
      </c>
      <c r="F30" t="s">
        <v>454</v>
      </c>
      <c r="G30" t="s">
        <v>419</v>
      </c>
      <c r="H30" t="str">
        <f t="shared" si="0"/>
        <v>TAK</v>
      </c>
    </row>
    <row r="31" spans="1:8" x14ac:dyDescent="0.3">
      <c r="A31">
        <v>30</v>
      </c>
      <c r="B31">
        <v>27</v>
      </c>
      <c r="C31">
        <v>3</v>
      </c>
      <c r="D31" s="1">
        <v>45757.4375</v>
      </c>
      <c r="E31" t="s">
        <v>427</v>
      </c>
      <c r="F31" t="s">
        <v>418</v>
      </c>
      <c r="G31" t="s">
        <v>419</v>
      </c>
      <c r="H31" t="str">
        <f t="shared" si="0"/>
        <v>TAK</v>
      </c>
    </row>
    <row r="32" spans="1:8" x14ac:dyDescent="0.3">
      <c r="A32">
        <v>31</v>
      </c>
      <c r="B32">
        <v>28</v>
      </c>
      <c r="C32">
        <v>6</v>
      </c>
      <c r="D32" s="1">
        <v>45758.375</v>
      </c>
      <c r="E32" t="s">
        <v>447</v>
      </c>
      <c r="F32" t="s">
        <v>455</v>
      </c>
      <c r="G32" t="s">
        <v>419</v>
      </c>
      <c r="H32" t="str">
        <f t="shared" si="0"/>
        <v>TAK</v>
      </c>
    </row>
    <row r="33" spans="1:8" x14ac:dyDescent="0.3">
      <c r="A33">
        <v>32</v>
      </c>
      <c r="B33">
        <v>29</v>
      </c>
      <c r="C33">
        <v>2</v>
      </c>
      <c r="D33" s="1">
        <v>45758.458333333336</v>
      </c>
      <c r="E33" t="s">
        <v>456</v>
      </c>
      <c r="F33" t="s">
        <v>457</v>
      </c>
      <c r="G33" t="s">
        <v>419</v>
      </c>
      <c r="H33" t="str">
        <f t="shared" si="0"/>
        <v>TAK</v>
      </c>
    </row>
    <row r="34" spans="1:8" x14ac:dyDescent="0.3">
      <c r="A34">
        <v>33</v>
      </c>
      <c r="B34">
        <v>30</v>
      </c>
      <c r="C34">
        <v>1</v>
      </c>
      <c r="D34" s="1">
        <v>45761.416666666664</v>
      </c>
      <c r="E34" t="s">
        <v>441</v>
      </c>
      <c r="F34" t="s">
        <v>458</v>
      </c>
      <c r="G34" t="s">
        <v>419</v>
      </c>
      <c r="H34" t="str">
        <f t="shared" ref="H34:H65" si="1">IF(AND(B34&lt;&gt;"",G34="zakończona"),"TAK","NIE")</f>
        <v>TAK</v>
      </c>
    </row>
    <row r="35" spans="1:8" x14ac:dyDescent="0.3">
      <c r="A35">
        <v>34</v>
      </c>
      <c r="B35">
        <v>31</v>
      </c>
      <c r="C35">
        <v>4</v>
      </c>
      <c r="D35" s="1">
        <v>45761.479166666664</v>
      </c>
      <c r="E35" t="s">
        <v>422</v>
      </c>
      <c r="F35" t="s">
        <v>459</v>
      </c>
      <c r="G35" t="s">
        <v>419</v>
      </c>
      <c r="H35" t="str">
        <f t="shared" si="1"/>
        <v>TAK</v>
      </c>
    </row>
    <row r="36" spans="1:8" x14ac:dyDescent="0.3">
      <c r="A36">
        <v>35</v>
      </c>
      <c r="B36">
        <v>32</v>
      </c>
      <c r="C36">
        <v>3</v>
      </c>
      <c r="D36" s="1">
        <v>45762.375</v>
      </c>
      <c r="E36" t="s">
        <v>439</v>
      </c>
      <c r="F36" t="s">
        <v>460</v>
      </c>
      <c r="G36" t="s">
        <v>419</v>
      </c>
      <c r="H36" t="str">
        <f t="shared" si="1"/>
        <v>TAK</v>
      </c>
    </row>
    <row r="37" spans="1:8" x14ac:dyDescent="0.3">
      <c r="A37">
        <v>36</v>
      </c>
      <c r="B37">
        <v>33</v>
      </c>
      <c r="C37">
        <v>5</v>
      </c>
      <c r="D37" s="1">
        <v>45762.4375</v>
      </c>
      <c r="E37" t="s">
        <v>417</v>
      </c>
      <c r="F37" t="s">
        <v>461</v>
      </c>
      <c r="G37" t="s">
        <v>419</v>
      </c>
      <c r="H37" t="str">
        <f t="shared" si="1"/>
        <v>TAK</v>
      </c>
    </row>
    <row r="38" spans="1:8" x14ac:dyDescent="0.3">
      <c r="A38">
        <v>37</v>
      </c>
      <c r="B38">
        <v>34</v>
      </c>
      <c r="C38">
        <v>6</v>
      </c>
      <c r="D38" s="1">
        <v>45763.375</v>
      </c>
      <c r="E38" t="s">
        <v>409</v>
      </c>
      <c r="F38" t="s">
        <v>462</v>
      </c>
      <c r="G38" t="s">
        <v>419</v>
      </c>
      <c r="H38" t="str">
        <f t="shared" si="1"/>
        <v>TAK</v>
      </c>
    </row>
    <row r="39" spans="1:8" x14ac:dyDescent="0.3">
      <c r="A39">
        <v>38</v>
      </c>
      <c r="B39">
        <v>35</v>
      </c>
      <c r="C39">
        <v>2</v>
      </c>
      <c r="D39" s="1">
        <v>45763.458333333336</v>
      </c>
      <c r="E39" t="s">
        <v>420</v>
      </c>
      <c r="F39" t="s">
        <v>463</v>
      </c>
      <c r="G39" t="s">
        <v>419</v>
      </c>
      <c r="H39" t="str">
        <f t="shared" si="1"/>
        <v>TAK</v>
      </c>
    </row>
    <row r="40" spans="1:8" x14ac:dyDescent="0.3">
      <c r="A40">
        <v>39</v>
      </c>
      <c r="B40">
        <v>36</v>
      </c>
      <c r="C40">
        <v>1</v>
      </c>
      <c r="D40" s="1">
        <v>45764.395833333336</v>
      </c>
      <c r="E40" t="s">
        <v>427</v>
      </c>
      <c r="F40" t="s">
        <v>443</v>
      </c>
      <c r="G40" t="s">
        <v>419</v>
      </c>
      <c r="H40" t="str">
        <f t="shared" si="1"/>
        <v>TAK</v>
      </c>
    </row>
    <row r="41" spans="1:8" x14ac:dyDescent="0.3">
      <c r="A41">
        <v>40</v>
      </c>
      <c r="B41">
        <v>37</v>
      </c>
      <c r="C41">
        <v>3</v>
      </c>
      <c r="D41" s="1">
        <v>45764.458333333336</v>
      </c>
      <c r="E41" t="s">
        <v>398</v>
      </c>
      <c r="F41" t="s">
        <v>464</v>
      </c>
      <c r="G41" t="s">
        <v>419</v>
      </c>
      <c r="H41" t="str">
        <f t="shared" si="1"/>
        <v>TAK</v>
      </c>
    </row>
    <row r="42" spans="1:8" x14ac:dyDescent="0.3">
      <c r="A42">
        <v>41</v>
      </c>
      <c r="B42">
        <v>38</v>
      </c>
      <c r="C42">
        <v>4</v>
      </c>
      <c r="D42" s="1">
        <v>45769.416666666664</v>
      </c>
      <c r="E42" t="s">
        <v>429</v>
      </c>
      <c r="F42" t="s">
        <v>465</v>
      </c>
      <c r="G42" t="s">
        <v>419</v>
      </c>
      <c r="H42" t="str">
        <f t="shared" si="1"/>
        <v>TAK</v>
      </c>
    </row>
    <row r="43" spans="1:8" x14ac:dyDescent="0.3">
      <c r="A43">
        <v>42</v>
      </c>
      <c r="B43">
        <v>39</v>
      </c>
      <c r="C43">
        <v>5</v>
      </c>
      <c r="D43" s="1">
        <v>45769.479166666664</v>
      </c>
      <c r="E43" t="s">
        <v>453</v>
      </c>
      <c r="F43" t="s">
        <v>466</v>
      </c>
      <c r="G43" t="s">
        <v>419</v>
      </c>
      <c r="H43" t="str">
        <f t="shared" si="1"/>
        <v>TAK</v>
      </c>
    </row>
    <row r="44" spans="1:8" x14ac:dyDescent="0.3">
      <c r="A44">
        <v>43</v>
      </c>
      <c r="B44">
        <v>40</v>
      </c>
      <c r="C44">
        <v>6</v>
      </c>
      <c r="D44" s="1">
        <v>45770.375</v>
      </c>
      <c r="E44" t="s">
        <v>447</v>
      </c>
      <c r="F44" t="s">
        <v>467</v>
      </c>
      <c r="G44" t="s">
        <v>419</v>
      </c>
      <c r="H44" t="str">
        <f t="shared" si="1"/>
        <v>TAK</v>
      </c>
    </row>
    <row r="45" spans="1:8" x14ac:dyDescent="0.3">
      <c r="A45">
        <v>44</v>
      </c>
      <c r="B45">
        <v>41</v>
      </c>
      <c r="C45">
        <v>2</v>
      </c>
      <c r="D45" s="1">
        <v>45770.4375</v>
      </c>
      <c r="E45" t="s">
        <v>394</v>
      </c>
      <c r="F45" t="s">
        <v>468</v>
      </c>
      <c r="G45" t="s">
        <v>419</v>
      </c>
      <c r="H45" t="str">
        <f t="shared" si="1"/>
        <v>TAK</v>
      </c>
    </row>
    <row r="46" spans="1:8" x14ac:dyDescent="0.3">
      <c r="A46">
        <v>45</v>
      </c>
      <c r="B46">
        <v>42</v>
      </c>
      <c r="C46">
        <v>1</v>
      </c>
      <c r="D46" s="1">
        <v>45771.375</v>
      </c>
      <c r="E46" t="s">
        <v>425</v>
      </c>
      <c r="F46" t="s">
        <v>469</v>
      </c>
      <c r="G46" t="s">
        <v>419</v>
      </c>
      <c r="H46" t="str">
        <f t="shared" si="1"/>
        <v>TAK</v>
      </c>
    </row>
    <row r="47" spans="1:8" x14ac:dyDescent="0.3">
      <c r="A47">
        <v>46</v>
      </c>
      <c r="B47">
        <v>43</v>
      </c>
      <c r="C47">
        <v>3</v>
      </c>
      <c r="D47" s="1">
        <v>45771.4375</v>
      </c>
      <c r="E47" t="s">
        <v>439</v>
      </c>
      <c r="F47" t="s">
        <v>470</v>
      </c>
      <c r="G47" t="s">
        <v>419</v>
      </c>
      <c r="H47" t="str">
        <f t="shared" si="1"/>
        <v>TAK</v>
      </c>
    </row>
    <row r="48" spans="1:8" x14ac:dyDescent="0.3">
      <c r="A48">
        <v>47</v>
      </c>
      <c r="B48">
        <v>44</v>
      </c>
      <c r="C48">
        <v>4</v>
      </c>
      <c r="D48" s="1">
        <v>45772.375</v>
      </c>
      <c r="E48" t="s">
        <v>417</v>
      </c>
      <c r="F48" t="s">
        <v>471</v>
      </c>
      <c r="G48" t="s">
        <v>419</v>
      </c>
      <c r="H48" t="str">
        <f t="shared" si="1"/>
        <v>TAK</v>
      </c>
    </row>
    <row r="49" spans="1:8" x14ac:dyDescent="0.3">
      <c r="A49">
        <v>48</v>
      </c>
      <c r="B49">
        <v>45</v>
      </c>
      <c r="C49">
        <v>5</v>
      </c>
      <c r="D49" s="1">
        <v>45772.458333333336</v>
      </c>
      <c r="E49" t="s">
        <v>427</v>
      </c>
      <c r="F49" t="s">
        <v>472</v>
      </c>
      <c r="G49" t="s">
        <v>419</v>
      </c>
      <c r="H49" t="str">
        <f t="shared" si="1"/>
        <v>TAK</v>
      </c>
    </row>
    <row r="50" spans="1:8" x14ac:dyDescent="0.3">
      <c r="A50">
        <v>49</v>
      </c>
      <c r="B50">
        <v>46</v>
      </c>
      <c r="C50">
        <v>6</v>
      </c>
      <c r="D50" s="1">
        <v>45775.416666666664</v>
      </c>
      <c r="E50" t="s">
        <v>409</v>
      </c>
      <c r="F50" t="s">
        <v>473</v>
      </c>
      <c r="G50" t="s">
        <v>419</v>
      </c>
      <c r="H50" t="str">
        <f t="shared" si="1"/>
        <v>TAK</v>
      </c>
    </row>
    <row r="51" spans="1:8" x14ac:dyDescent="0.3">
      <c r="A51">
        <v>50</v>
      </c>
      <c r="B51">
        <v>47</v>
      </c>
      <c r="C51">
        <v>2</v>
      </c>
      <c r="D51" s="1">
        <v>45775.479166666664</v>
      </c>
      <c r="E51" t="s">
        <v>420</v>
      </c>
      <c r="F51" t="s">
        <v>474</v>
      </c>
      <c r="G51" t="s">
        <v>419</v>
      </c>
      <c r="H51" t="str">
        <f t="shared" si="1"/>
        <v>TAK</v>
      </c>
    </row>
    <row r="52" spans="1:8" x14ac:dyDescent="0.3">
      <c r="A52">
        <v>51</v>
      </c>
      <c r="B52">
        <v>48</v>
      </c>
      <c r="C52">
        <v>1</v>
      </c>
      <c r="D52" s="1">
        <v>45776.375</v>
      </c>
      <c r="E52" t="s">
        <v>389</v>
      </c>
      <c r="F52" t="s">
        <v>475</v>
      </c>
      <c r="G52" t="s">
        <v>419</v>
      </c>
      <c r="H52" t="str">
        <f t="shared" si="1"/>
        <v>TAK</v>
      </c>
    </row>
    <row r="53" spans="1:8" x14ac:dyDescent="0.3">
      <c r="A53">
        <v>52</v>
      </c>
      <c r="B53">
        <v>49</v>
      </c>
      <c r="C53">
        <v>3</v>
      </c>
      <c r="D53" s="1">
        <v>45776.458333333336</v>
      </c>
      <c r="E53" t="s">
        <v>422</v>
      </c>
      <c r="F53" t="s">
        <v>476</v>
      </c>
      <c r="G53" t="s">
        <v>419</v>
      </c>
      <c r="H53" t="str">
        <f t="shared" si="1"/>
        <v>TAK</v>
      </c>
    </row>
    <row r="54" spans="1:8" x14ac:dyDescent="0.3">
      <c r="A54">
        <v>53</v>
      </c>
      <c r="B54">
        <v>50</v>
      </c>
      <c r="C54">
        <v>4</v>
      </c>
      <c r="D54" s="1">
        <v>45777.416666666664</v>
      </c>
      <c r="E54" t="s">
        <v>429</v>
      </c>
      <c r="F54" t="s">
        <v>477</v>
      </c>
      <c r="G54" t="s">
        <v>419</v>
      </c>
      <c r="H54" t="str">
        <f t="shared" si="1"/>
        <v>TAK</v>
      </c>
    </row>
    <row r="55" spans="1:8" x14ac:dyDescent="0.3">
      <c r="A55">
        <v>54</v>
      </c>
      <c r="B55">
        <v>51</v>
      </c>
      <c r="C55">
        <v>6</v>
      </c>
      <c r="D55" s="1">
        <v>45777.5</v>
      </c>
      <c r="E55" t="s">
        <v>447</v>
      </c>
      <c r="F55" t="s">
        <v>478</v>
      </c>
      <c r="G55" t="s">
        <v>419</v>
      </c>
      <c r="H55" t="str">
        <f t="shared" si="1"/>
        <v>TAK</v>
      </c>
    </row>
    <row r="56" spans="1:8" x14ac:dyDescent="0.3">
      <c r="A56">
        <v>55</v>
      </c>
      <c r="B56">
        <v>52</v>
      </c>
      <c r="C56">
        <v>1</v>
      </c>
      <c r="D56" s="1">
        <v>45782.375</v>
      </c>
      <c r="E56" t="s">
        <v>417</v>
      </c>
      <c r="F56" t="s">
        <v>479</v>
      </c>
      <c r="G56" t="s">
        <v>419</v>
      </c>
      <c r="H56" t="str">
        <f t="shared" si="1"/>
        <v>TAK</v>
      </c>
    </row>
    <row r="57" spans="1:8" x14ac:dyDescent="0.3">
      <c r="A57">
        <v>56</v>
      </c>
      <c r="B57">
        <v>53</v>
      </c>
      <c r="C57">
        <v>2</v>
      </c>
      <c r="D57" s="1">
        <v>45782.4375</v>
      </c>
      <c r="E57" t="s">
        <v>437</v>
      </c>
      <c r="F57" t="s">
        <v>480</v>
      </c>
      <c r="G57" t="s">
        <v>419</v>
      </c>
      <c r="H57" t="str">
        <f t="shared" si="1"/>
        <v>TAK</v>
      </c>
    </row>
    <row r="58" spans="1:8" x14ac:dyDescent="0.3">
      <c r="A58">
        <v>57</v>
      </c>
      <c r="B58">
        <v>54</v>
      </c>
      <c r="C58">
        <v>3</v>
      </c>
      <c r="D58" s="1">
        <v>45783.458333333336</v>
      </c>
      <c r="E58" t="s">
        <v>481</v>
      </c>
      <c r="F58" t="s">
        <v>482</v>
      </c>
      <c r="G58" t="s">
        <v>419</v>
      </c>
      <c r="H58" t="str">
        <f t="shared" si="1"/>
        <v>TAK</v>
      </c>
    </row>
    <row r="59" spans="1:8" x14ac:dyDescent="0.3">
      <c r="A59">
        <v>58</v>
      </c>
      <c r="B59">
        <v>55</v>
      </c>
      <c r="C59">
        <v>6</v>
      </c>
      <c r="D59" s="1">
        <v>45783.5</v>
      </c>
      <c r="E59" t="s">
        <v>427</v>
      </c>
      <c r="F59" t="s">
        <v>418</v>
      </c>
      <c r="G59" t="s">
        <v>419</v>
      </c>
      <c r="H59" t="str">
        <f t="shared" si="1"/>
        <v>TAK</v>
      </c>
    </row>
    <row r="60" spans="1:8" x14ac:dyDescent="0.3">
      <c r="A60">
        <v>59</v>
      </c>
      <c r="B60">
        <v>56</v>
      </c>
      <c r="C60">
        <v>4</v>
      </c>
      <c r="D60" s="1">
        <v>45784.395833333336</v>
      </c>
      <c r="E60" t="s">
        <v>429</v>
      </c>
      <c r="F60" t="s">
        <v>483</v>
      </c>
      <c r="G60" t="s">
        <v>419</v>
      </c>
      <c r="H60" t="str">
        <f t="shared" si="1"/>
        <v>TAK</v>
      </c>
    </row>
    <row r="61" spans="1:8" x14ac:dyDescent="0.3">
      <c r="A61">
        <v>60</v>
      </c>
      <c r="B61">
        <v>57</v>
      </c>
      <c r="C61">
        <v>5</v>
      </c>
      <c r="D61" s="1">
        <v>45784.458333333336</v>
      </c>
      <c r="E61" t="s">
        <v>453</v>
      </c>
      <c r="F61" t="s">
        <v>484</v>
      </c>
      <c r="G61" t="s">
        <v>419</v>
      </c>
      <c r="H61" t="str">
        <f t="shared" si="1"/>
        <v>TAK</v>
      </c>
    </row>
    <row r="62" spans="1:8" x14ac:dyDescent="0.3">
      <c r="A62">
        <v>61</v>
      </c>
      <c r="B62">
        <v>58</v>
      </c>
      <c r="C62">
        <v>1</v>
      </c>
      <c r="D62" s="1">
        <v>45789.416666666664</v>
      </c>
      <c r="E62" t="s">
        <v>425</v>
      </c>
      <c r="F62" t="s">
        <v>485</v>
      </c>
      <c r="G62" t="s">
        <v>419</v>
      </c>
      <c r="H62" t="str">
        <f t="shared" si="1"/>
        <v>TAK</v>
      </c>
    </row>
    <row r="63" spans="1:8" x14ac:dyDescent="0.3">
      <c r="A63">
        <v>62</v>
      </c>
      <c r="B63">
        <v>59</v>
      </c>
      <c r="C63">
        <v>2</v>
      </c>
      <c r="D63" s="1">
        <v>45789.479166666664</v>
      </c>
      <c r="E63" t="s">
        <v>394</v>
      </c>
      <c r="F63" t="s">
        <v>486</v>
      </c>
      <c r="G63" t="s">
        <v>419</v>
      </c>
      <c r="H63" t="str">
        <f t="shared" si="1"/>
        <v>TAK</v>
      </c>
    </row>
    <row r="64" spans="1:8" x14ac:dyDescent="0.3">
      <c r="A64">
        <v>63</v>
      </c>
      <c r="B64">
        <v>60</v>
      </c>
      <c r="C64">
        <v>3</v>
      </c>
      <c r="D64" s="1">
        <v>45790.375</v>
      </c>
      <c r="E64" t="s">
        <v>439</v>
      </c>
      <c r="F64" t="s">
        <v>487</v>
      </c>
      <c r="G64" t="s">
        <v>419</v>
      </c>
      <c r="H64" t="str">
        <f t="shared" si="1"/>
        <v>TAK</v>
      </c>
    </row>
    <row r="65" spans="1:8" x14ac:dyDescent="0.3">
      <c r="A65">
        <v>64</v>
      </c>
      <c r="B65">
        <v>61</v>
      </c>
      <c r="C65">
        <v>6</v>
      </c>
      <c r="D65" s="1">
        <v>45790.4375</v>
      </c>
      <c r="E65" t="s">
        <v>409</v>
      </c>
      <c r="F65" t="s">
        <v>488</v>
      </c>
      <c r="G65" t="s">
        <v>419</v>
      </c>
      <c r="H65" t="str">
        <f t="shared" si="1"/>
        <v>TAK</v>
      </c>
    </row>
    <row r="66" spans="1:8" x14ac:dyDescent="0.3">
      <c r="A66">
        <v>65</v>
      </c>
      <c r="B66">
        <v>62</v>
      </c>
      <c r="C66">
        <v>4</v>
      </c>
      <c r="D66" s="1">
        <v>45791.375</v>
      </c>
      <c r="E66" t="s">
        <v>429</v>
      </c>
      <c r="F66" t="s">
        <v>489</v>
      </c>
      <c r="G66" t="s">
        <v>419</v>
      </c>
      <c r="H66" t="str">
        <f t="shared" ref="H66:H97" si="2">IF(AND(B66&lt;&gt;"",G66="zakończona"),"TAK","NIE")</f>
        <v>TAK</v>
      </c>
    </row>
    <row r="67" spans="1:8" hidden="1" x14ac:dyDescent="0.3">
      <c r="A67">
        <v>66</v>
      </c>
      <c r="B67">
        <v>63</v>
      </c>
      <c r="D67" s="1">
        <v>45791.458333333336</v>
      </c>
      <c r="E67" t="s">
        <v>427</v>
      </c>
      <c r="G67" t="s">
        <v>428</v>
      </c>
      <c r="H67" t="str">
        <f t="shared" si="2"/>
        <v>NIE</v>
      </c>
    </row>
    <row r="68" spans="1:8" hidden="1" x14ac:dyDescent="0.3">
      <c r="A68">
        <v>67</v>
      </c>
      <c r="B68">
        <v>64</v>
      </c>
      <c r="D68" s="1">
        <v>45792.416666666664</v>
      </c>
      <c r="E68" t="s">
        <v>417</v>
      </c>
      <c r="G68" t="s">
        <v>428</v>
      </c>
      <c r="H68" t="str">
        <f t="shared" si="2"/>
        <v>NIE</v>
      </c>
    </row>
    <row r="69" spans="1:8" hidden="1" x14ac:dyDescent="0.3">
      <c r="A69">
        <v>68</v>
      </c>
      <c r="B69">
        <v>65</v>
      </c>
      <c r="D69" s="1">
        <v>45792.5</v>
      </c>
      <c r="E69" t="s">
        <v>422</v>
      </c>
      <c r="G69" t="s">
        <v>428</v>
      </c>
      <c r="H69" t="str">
        <f t="shared" si="2"/>
        <v>NIE</v>
      </c>
    </row>
    <row r="70" spans="1:8" x14ac:dyDescent="0.3">
      <c r="A70">
        <v>69</v>
      </c>
      <c r="B70">
        <v>66</v>
      </c>
      <c r="C70">
        <v>1</v>
      </c>
      <c r="D70" s="1">
        <v>45796.375</v>
      </c>
      <c r="E70" t="s">
        <v>389</v>
      </c>
      <c r="F70" t="s">
        <v>490</v>
      </c>
      <c r="G70" t="s">
        <v>419</v>
      </c>
      <c r="H70" t="str">
        <f t="shared" si="2"/>
        <v>TAK</v>
      </c>
    </row>
    <row r="71" spans="1:8" x14ac:dyDescent="0.3">
      <c r="A71">
        <v>70</v>
      </c>
      <c r="B71">
        <v>67</v>
      </c>
      <c r="C71">
        <v>2</v>
      </c>
      <c r="D71" s="1">
        <v>45796.4375</v>
      </c>
      <c r="E71" t="s">
        <v>422</v>
      </c>
      <c r="F71" t="s">
        <v>491</v>
      </c>
      <c r="G71" t="s">
        <v>419</v>
      </c>
      <c r="H71" t="str">
        <f t="shared" si="2"/>
        <v>TAK</v>
      </c>
    </row>
    <row r="72" spans="1:8" x14ac:dyDescent="0.3">
      <c r="A72">
        <v>71</v>
      </c>
      <c r="B72">
        <v>68</v>
      </c>
      <c r="C72">
        <v>3</v>
      </c>
      <c r="D72" s="1">
        <v>45797.458333333336</v>
      </c>
      <c r="E72" t="s">
        <v>398</v>
      </c>
      <c r="F72" t="s">
        <v>492</v>
      </c>
      <c r="G72" t="s">
        <v>419</v>
      </c>
      <c r="H72" t="str">
        <f t="shared" si="2"/>
        <v>TAK</v>
      </c>
    </row>
    <row r="73" spans="1:8" x14ac:dyDescent="0.3">
      <c r="A73">
        <v>72</v>
      </c>
      <c r="B73">
        <v>69</v>
      </c>
      <c r="C73">
        <v>5</v>
      </c>
      <c r="D73" s="1">
        <v>45798.395833333336</v>
      </c>
      <c r="E73" t="s">
        <v>427</v>
      </c>
      <c r="F73" t="s">
        <v>493</v>
      </c>
      <c r="G73" t="s">
        <v>419</v>
      </c>
      <c r="H73" t="str">
        <f t="shared" si="2"/>
        <v>TAK</v>
      </c>
    </row>
    <row r="74" spans="1:8" x14ac:dyDescent="0.3">
      <c r="A74">
        <v>73</v>
      </c>
      <c r="B74">
        <v>70</v>
      </c>
      <c r="C74">
        <v>6</v>
      </c>
      <c r="D74" s="1">
        <v>45800.416666666664</v>
      </c>
      <c r="E74" t="s">
        <v>409</v>
      </c>
      <c r="F74" t="s">
        <v>494</v>
      </c>
      <c r="G74" t="s">
        <v>419</v>
      </c>
      <c r="H74" t="str">
        <f t="shared" si="2"/>
        <v>TAK</v>
      </c>
    </row>
    <row r="75" spans="1:8" hidden="1" x14ac:dyDescent="0.3">
      <c r="A75">
        <v>74</v>
      </c>
      <c r="B75">
        <v>71</v>
      </c>
      <c r="D75" s="1">
        <v>45800.5</v>
      </c>
      <c r="E75" t="s">
        <v>427</v>
      </c>
      <c r="G75" t="s">
        <v>428</v>
      </c>
      <c r="H75" t="str">
        <f t="shared" si="2"/>
        <v>NIE</v>
      </c>
    </row>
    <row r="76" spans="1:8" hidden="1" x14ac:dyDescent="0.3">
      <c r="A76">
        <v>75</v>
      </c>
      <c r="B76">
        <v>72</v>
      </c>
      <c r="D76" s="1">
        <v>45803.416666666664</v>
      </c>
      <c r="E76" t="s">
        <v>417</v>
      </c>
      <c r="G76" t="s">
        <v>428</v>
      </c>
      <c r="H76" t="str">
        <f t="shared" si="2"/>
        <v>NIE</v>
      </c>
    </row>
    <row r="77" spans="1:8" x14ac:dyDescent="0.3">
      <c r="A77">
        <v>76</v>
      </c>
      <c r="B77">
        <v>73</v>
      </c>
      <c r="C77">
        <v>4</v>
      </c>
      <c r="D77" s="1">
        <v>45804.375</v>
      </c>
      <c r="E77" t="s">
        <v>429</v>
      </c>
      <c r="F77" t="s">
        <v>495</v>
      </c>
      <c r="G77" t="s">
        <v>419</v>
      </c>
      <c r="H77" t="str">
        <f t="shared" si="2"/>
        <v>TAK</v>
      </c>
    </row>
    <row r="78" spans="1:8" x14ac:dyDescent="0.3">
      <c r="A78">
        <v>77</v>
      </c>
      <c r="B78">
        <v>74</v>
      </c>
      <c r="C78">
        <v>1</v>
      </c>
      <c r="D78" s="1">
        <v>45804.458333333336</v>
      </c>
      <c r="E78" t="s">
        <v>425</v>
      </c>
      <c r="F78" t="s">
        <v>496</v>
      </c>
      <c r="G78" t="s">
        <v>419</v>
      </c>
      <c r="H78" t="str">
        <f t="shared" si="2"/>
        <v>TAK</v>
      </c>
    </row>
    <row r="79" spans="1:8" x14ac:dyDescent="0.3">
      <c r="A79">
        <v>78</v>
      </c>
      <c r="B79">
        <v>75</v>
      </c>
      <c r="C79">
        <v>2</v>
      </c>
      <c r="D79" s="1">
        <v>45805.416666666664</v>
      </c>
      <c r="E79" t="s">
        <v>394</v>
      </c>
      <c r="F79" t="s">
        <v>497</v>
      </c>
      <c r="G79" t="s">
        <v>419</v>
      </c>
      <c r="H79" t="str">
        <f t="shared" si="2"/>
        <v>TAK</v>
      </c>
    </row>
    <row r="80" spans="1:8" x14ac:dyDescent="0.3">
      <c r="A80">
        <v>79</v>
      </c>
      <c r="B80">
        <v>76</v>
      </c>
      <c r="C80">
        <v>5</v>
      </c>
      <c r="D80" s="1">
        <v>45805.479166666664</v>
      </c>
      <c r="E80" t="s">
        <v>417</v>
      </c>
      <c r="F80" t="s">
        <v>498</v>
      </c>
      <c r="G80" t="s">
        <v>419</v>
      </c>
      <c r="H80" t="str">
        <f t="shared" si="2"/>
        <v>TAK</v>
      </c>
    </row>
    <row r="81" spans="1:8" x14ac:dyDescent="0.3">
      <c r="A81">
        <v>80</v>
      </c>
      <c r="B81">
        <v>77</v>
      </c>
      <c r="C81">
        <v>3</v>
      </c>
      <c r="D81" s="1">
        <v>45806.375</v>
      </c>
      <c r="E81" t="s">
        <v>439</v>
      </c>
      <c r="F81" t="s">
        <v>499</v>
      </c>
      <c r="G81" t="s">
        <v>419</v>
      </c>
      <c r="H81" t="str">
        <f t="shared" si="2"/>
        <v>TAK</v>
      </c>
    </row>
    <row r="82" spans="1:8" x14ac:dyDescent="0.3">
      <c r="A82">
        <v>81</v>
      </c>
      <c r="B82">
        <v>78</v>
      </c>
      <c r="C82">
        <v>6</v>
      </c>
      <c r="D82" s="1">
        <v>45807.416666666664</v>
      </c>
      <c r="E82" t="s">
        <v>447</v>
      </c>
      <c r="F82" t="s">
        <v>500</v>
      </c>
      <c r="G82" t="s">
        <v>419</v>
      </c>
      <c r="H82" t="str">
        <f t="shared" si="2"/>
        <v>TAK</v>
      </c>
    </row>
    <row r="83" spans="1:8" x14ac:dyDescent="0.3">
      <c r="A83">
        <v>82</v>
      </c>
      <c r="B83">
        <v>14</v>
      </c>
      <c r="C83">
        <v>1</v>
      </c>
      <c r="D83" s="1">
        <v>45810.375</v>
      </c>
      <c r="E83" t="s">
        <v>422</v>
      </c>
      <c r="F83" t="s">
        <v>459</v>
      </c>
      <c r="G83" t="s">
        <v>419</v>
      </c>
      <c r="H83" t="str">
        <f t="shared" si="2"/>
        <v>TAK</v>
      </c>
    </row>
    <row r="84" spans="1:8" x14ac:dyDescent="0.3">
      <c r="A84">
        <v>83</v>
      </c>
      <c r="B84">
        <v>20</v>
      </c>
      <c r="C84">
        <v>2</v>
      </c>
      <c r="D84" s="1">
        <v>45810.4375</v>
      </c>
      <c r="E84" t="s">
        <v>501</v>
      </c>
      <c r="F84" t="s">
        <v>502</v>
      </c>
      <c r="G84" t="s">
        <v>419</v>
      </c>
      <c r="H84" t="str">
        <f t="shared" si="2"/>
        <v>TAK</v>
      </c>
    </row>
    <row r="85" spans="1:8" x14ac:dyDescent="0.3">
      <c r="A85">
        <v>84</v>
      </c>
      <c r="B85">
        <v>22</v>
      </c>
      <c r="C85">
        <v>6</v>
      </c>
      <c r="D85" s="1">
        <v>45811.375</v>
      </c>
      <c r="E85" t="s">
        <v>409</v>
      </c>
      <c r="F85" t="s">
        <v>503</v>
      </c>
      <c r="G85" t="s">
        <v>419</v>
      </c>
      <c r="H85" t="str">
        <f t="shared" si="2"/>
        <v>TAK</v>
      </c>
    </row>
    <row r="86" spans="1:8" x14ac:dyDescent="0.3">
      <c r="A86">
        <v>85</v>
      </c>
      <c r="B86">
        <v>30</v>
      </c>
      <c r="C86">
        <v>1</v>
      </c>
      <c r="D86" s="1">
        <v>45811.458333333336</v>
      </c>
      <c r="E86" t="s">
        <v>422</v>
      </c>
      <c r="F86" t="s">
        <v>504</v>
      </c>
      <c r="G86" t="s">
        <v>419</v>
      </c>
      <c r="H86" t="str">
        <f t="shared" si="2"/>
        <v>TAK</v>
      </c>
    </row>
    <row r="87" spans="1:8" x14ac:dyDescent="0.3">
      <c r="A87">
        <v>86</v>
      </c>
      <c r="B87">
        <v>34</v>
      </c>
      <c r="C87">
        <v>6</v>
      </c>
      <c r="D87" s="1">
        <v>45812.395833333336</v>
      </c>
      <c r="E87" t="s">
        <v>409</v>
      </c>
      <c r="F87" t="s">
        <v>505</v>
      </c>
      <c r="G87" t="s">
        <v>419</v>
      </c>
      <c r="H87" t="str">
        <f t="shared" si="2"/>
        <v>TAK</v>
      </c>
    </row>
    <row r="88" spans="1:8" x14ac:dyDescent="0.3">
      <c r="A88">
        <v>87</v>
      </c>
      <c r="B88">
        <v>36</v>
      </c>
      <c r="C88">
        <v>5</v>
      </c>
      <c r="D88" s="1">
        <v>45812.458333333336</v>
      </c>
      <c r="E88" t="s">
        <v>427</v>
      </c>
      <c r="F88" t="s">
        <v>418</v>
      </c>
      <c r="G88" t="s">
        <v>419</v>
      </c>
      <c r="H88" t="str">
        <f t="shared" si="2"/>
        <v>TAK</v>
      </c>
    </row>
    <row r="89" spans="1:8" x14ac:dyDescent="0.3">
      <c r="A89">
        <v>88</v>
      </c>
      <c r="B89">
        <v>42</v>
      </c>
      <c r="C89">
        <v>1</v>
      </c>
      <c r="D89" s="1">
        <v>45813.416666666664</v>
      </c>
      <c r="E89" t="s">
        <v>506</v>
      </c>
      <c r="F89" t="s">
        <v>507</v>
      </c>
      <c r="G89" t="s">
        <v>419</v>
      </c>
      <c r="H89" t="str">
        <f t="shared" si="2"/>
        <v>TAK</v>
      </c>
    </row>
    <row r="90" spans="1:8" x14ac:dyDescent="0.3">
      <c r="A90">
        <v>89</v>
      </c>
      <c r="B90">
        <v>43</v>
      </c>
      <c r="C90">
        <v>3</v>
      </c>
      <c r="D90" s="1">
        <v>45813.479166666664</v>
      </c>
      <c r="E90" t="s">
        <v>398</v>
      </c>
      <c r="F90" t="s">
        <v>508</v>
      </c>
      <c r="G90" t="s">
        <v>419</v>
      </c>
      <c r="H90" t="str">
        <f t="shared" si="2"/>
        <v>TAK</v>
      </c>
    </row>
    <row r="91" spans="1:8" x14ac:dyDescent="0.3">
      <c r="A91">
        <v>90</v>
      </c>
      <c r="B91">
        <v>46</v>
      </c>
      <c r="C91">
        <v>6</v>
      </c>
      <c r="D91" s="1">
        <v>45817.375</v>
      </c>
      <c r="E91" t="s">
        <v>409</v>
      </c>
      <c r="F91" t="s">
        <v>509</v>
      </c>
      <c r="G91" t="s">
        <v>419</v>
      </c>
      <c r="H91" t="str">
        <f t="shared" si="2"/>
        <v>TAK</v>
      </c>
    </row>
    <row r="92" spans="1:8" x14ac:dyDescent="0.3">
      <c r="A92">
        <v>91</v>
      </c>
      <c r="B92">
        <v>48</v>
      </c>
      <c r="C92">
        <v>1</v>
      </c>
      <c r="D92" s="1">
        <v>45817.4375</v>
      </c>
      <c r="E92" t="s">
        <v>422</v>
      </c>
      <c r="F92" t="s">
        <v>510</v>
      </c>
      <c r="G92" t="s">
        <v>419</v>
      </c>
      <c r="H92" t="str">
        <f t="shared" si="2"/>
        <v>TAK</v>
      </c>
    </row>
    <row r="93" spans="1:8" x14ac:dyDescent="0.3">
      <c r="A93">
        <v>92</v>
      </c>
      <c r="B93">
        <v>50</v>
      </c>
      <c r="C93">
        <v>4</v>
      </c>
      <c r="D93" s="1">
        <v>45818.375</v>
      </c>
      <c r="E93" t="s">
        <v>429</v>
      </c>
      <c r="F93" t="s">
        <v>511</v>
      </c>
      <c r="G93" t="s">
        <v>419</v>
      </c>
      <c r="H93" t="str">
        <f t="shared" si="2"/>
        <v>TAK</v>
      </c>
    </row>
    <row r="94" spans="1:8" x14ac:dyDescent="0.3">
      <c r="A94">
        <v>93</v>
      </c>
      <c r="B94">
        <v>54</v>
      </c>
      <c r="C94">
        <v>3</v>
      </c>
      <c r="D94" s="1">
        <v>45818.458333333336</v>
      </c>
      <c r="E94" t="s">
        <v>398</v>
      </c>
      <c r="F94" t="s">
        <v>512</v>
      </c>
      <c r="G94" t="s">
        <v>419</v>
      </c>
      <c r="H94" t="str">
        <f t="shared" si="2"/>
        <v>TAK</v>
      </c>
    </row>
    <row r="95" spans="1:8" x14ac:dyDescent="0.3">
      <c r="A95">
        <v>94</v>
      </c>
      <c r="B95">
        <v>58</v>
      </c>
      <c r="C95">
        <v>1</v>
      </c>
      <c r="D95" s="1">
        <v>45819.416666666664</v>
      </c>
      <c r="E95" t="s">
        <v>422</v>
      </c>
      <c r="F95" t="s">
        <v>513</v>
      </c>
      <c r="G95" t="s">
        <v>419</v>
      </c>
      <c r="H95" t="str">
        <f t="shared" si="2"/>
        <v>TAK</v>
      </c>
    </row>
    <row r="96" spans="1:8" x14ac:dyDescent="0.3">
      <c r="A96">
        <v>95</v>
      </c>
      <c r="B96">
        <v>60</v>
      </c>
      <c r="C96">
        <v>3</v>
      </c>
      <c r="D96" s="1">
        <v>45819.479166666664</v>
      </c>
      <c r="E96" t="s">
        <v>398</v>
      </c>
      <c r="F96" t="s">
        <v>514</v>
      </c>
      <c r="G96" t="s">
        <v>419</v>
      </c>
      <c r="H96" t="str">
        <f t="shared" si="2"/>
        <v>TAK</v>
      </c>
    </row>
    <row r="97" spans="1:8" x14ac:dyDescent="0.3">
      <c r="A97">
        <v>96</v>
      </c>
      <c r="B97">
        <v>62</v>
      </c>
      <c r="C97">
        <v>4</v>
      </c>
      <c r="D97" s="1">
        <v>45820.375</v>
      </c>
      <c r="E97" t="s">
        <v>429</v>
      </c>
      <c r="F97" t="s">
        <v>515</v>
      </c>
      <c r="G97" t="s">
        <v>419</v>
      </c>
      <c r="H97" t="str">
        <f t="shared" si="2"/>
        <v>TAK</v>
      </c>
    </row>
    <row r="98" spans="1:8" x14ac:dyDescent="0.3">
      <c r="A98">
        <v>97</v>
      </c>
      <c r="B98">
        <v>66</v>
      </c>
      <c r="C98">
        <v>1</v>
      </c>
      <c r="D98" s="1">
        <v>45820.4375</v>
      </c>
      <c r="E98" t="s">
        <v>389</v>
      </c>
      <c r="F98" t="s">
        <v>516</v>
      </c>
      <c r="G98" t="s">
        <v>419</v>
      </c>
      <c r="H98" t="str">
        <f t="shared" ref="H98:H129" si="3">IF(AND(B98&lt;&gt;"",G98="zakończona"),"TAK","NIE")</f>
        <v>TAK</v>
      </c>
    </row>
    <row r="99" spans="1:8" x14ac:dyDescent="0.3">
      <c r="A99">
        <v>98</v>
      </c>
      <c r="B99">
        <v>68</v>
      </c>
      <c r="C99">
        <v>3</v>
      </c>
      <c r="D99" s="1">
        <v>45824.375</v>
      </c>
      <c r="E99" t="s">
        <v>398</v>
      </c>
      <c r="F99" t="s">
        <v>517</v>
      </c>
      <c r="G99" t="s">
        <v>419</v>
      </c>
      <c r="H99" t="str">
        <f t="shared" si="3"/>
        <v>TAK</v>
      </c>
    </row>
    <row r="100" spans="1:8" x14ac:dyDescent="0.3">
      <c r="A100">
        <v>99</v>
      </c>
      <c r="B100">
        <v>70</v>
      </c>
      <c r="C100">
        <v>6</v>
      </c>
      <c r="D100" s="1">
        <v>45824.458333333336</v>
      </c>
      <c r="E100" t="s">
        <v>409</v>
      </c>
      <c r="F100" t="s">
        <v>518</v>
      </c>
      <c r="G100" t="s">
        <v>419</v>
      </c>
      <c r="H100" t="str">
        <f t="shared" si="3"/>
        <v>TAK</v>
      </c>
    </row>
    <row r="101" spans="1:8" x14ac:dyDescent="0.3">
      <c r="A101">
        <v>100</v>
      </c>
      <c r="B101">
        <v>74</v>
      </c>
      <c r="C101">
        <v>1</v>
      </c>
      <c r="D101" s="1">
        <v>45825.395833333336</v>
      </c>
      <c r="E101" t="s">
        <v>506</v>
      </c>
      <c r="F101" t="s">
        <v>519</v>
      </c>
      <c r="G101" t="s">
        <v>419</v>
      </c>
      <c r="H101" t="str">
        <f t="shared" si="3"/>
        <v>TAK</v>
      </c>
    </row>
    <row r="102" spans="1:8" x14ac:dyDescent="0.3">
      <c r="A102">
        <v>101</v>
      </c>
      <c r="B102">
        <v>77</v>
      </c>
      <c r="C102">
        <v>3</v>
      </c>
      <c r="D102" s="1">
        <v>45825.458333333336</v>
      </c>
      <c r="E102" t="s">
        <v>422</v>
      </c>
      <c r="F102" t="s">
        <v>520</v>
      </c>
      <c r="G102" t="s">
        <v>419</v>
      </c>
      <c r="H102" t="str">
        <f t="shared" si="3"/>
        <v>TAK</v>
      </c>
    </row>
    <row r="103" spans="1:8" x14ac:dyDescent="0.3">
      <c r="A103">
        <v>102</v>
      </c>
      <c r="B103">
        <v>15</v>
      </c>
      <c r="C103">
        <v>2</v>
      </c>
      <c r="D103" s="1">
        <v>45826.416666666664</v>
      </c>
      <c r="E103" t="s">
        <v>394</v>
      </c>
      <c r="F103" t="s">
        <v>521</v>
      </c>
      <c r="G103" t="s">
        <v>419</v>
      </c>
      <c r="H103" t="str">
        <f t="shared" si="3"/>
        <v>TAK</v>
      </c>
    </row>
    <row r="104" spans="1:8" x14ac:dyDescent="0.3">
      <c r="A104">
        <v>103</v>
      </c>
      <c r="B104">
        <v>28</v>
      </c>
      <c r="C104">
        <v>6</v>
      </c>
      <c r="D104" s="1">
        <v>45826.479166666664</v>
      </c>
      <c r="E104" t="s">
        <v>409</v>
      </c>
      <c r="F104" t="s">
        <v>522</v>
      </c>
      <c r="G104" t="s">
        <v>419</v>
      </c>
      <c r="H104" t="str">
        <f t="shared" si="3"/>
        <v>TAK</v>
      </c>
    </row>
    <row r="105" spans="1:8" x14ac:dyDescent="0.3">
      <c r="A105">
        <v>104</v>
      </c>
      <c r="B105">
        <v>29</v>
      </c>
      <c r="C105">
        <v>2</v>
      </c>
      <c r="D105" s="1">
        <v>45827.375</v>
      </c>
      <c r="E105" t="s">
        <v>394</v>
      </c>
      <c r="F105" t="s">
        <v>523</v>
      </c>
      <c r="G105" t="s">
        <v>419</v>
      </c>
      <c r="H105" t="str">
        <f t="shared" si="3"/>
        <v>TAK</v>
      </c>
    </row>
    <row r="106" spans="1:8" x14ac:dyDescent="0.3">
      <c r="A106">
        <v>105</v>
      </c>
      <c r="B106">
        <v>35</v>
      </c>
      <c r="C106">
        <v>2</v>
      </c>
      <c r="D106" s="1">
        <v>45827.4375</v>
      </c>
      <c r="E106" t="s">
        <v>394</v>
      </c>
      <c r="F106" t="s">
        <v>524</v>
      </c>
      <c r="G106" t="s">
        <v>419</v>
      </c>
      <c r="H106" t="str">
        <f t="shared" si="3"/>
        <v>TAK</v>
      </c>
    </row>
    <row r="107" spans="1:8" x14ac:dyDescent="0.3">
      <c r="A107">
        <v>106</v>
      </c>
      <c r="B107">
        <v>16</v>
      </c>
      <c r="C107">
        <v>3</v>
      </c>
      <c r="D107" s="1">
        <v>45831.375</v>
      </c>
      <c r="E107" t="s">
        <v>398</v>
      </c>
      <c r="F107" t="s">
        <v>525</v>
      </c>
      <c r="G107" t="s">
        <v>419</v>
      </c>
      <c r="H107" t="str">
        <f t="shared" si="3"/>
        <v>TAK</v>
      </c>
    </row>
    <row r="108" spans="1:8" x14ac:dyDescent="0.3">
      <c r="A108">
        <v>107</v>
      </c>
      <c r="B108">
        <v>21</v>
      </c>
      <c r="C108">
        <v>3</v>
      </c>
      <c r="D108" s="1">
        <v>45831.4375</v>
      </c>
      <c r="E108" t="s">
        <v>398</v>
      </c>
      <c r="F108" t="s">
        <v>526</v>
      </c>
      <c r="G108" t="s">
        <v>419</v>
      </c>
      <c r="H108" t="str">
        <f t="shared" si="3"/>
        <v>TAK</v>
      </c>
    </row>
    <row r="109" spans="1:8" x14ac:dyDescent="0.3">
      <c r="A109">
        <v>108</v>
      </c>
      <c r="B109">
        <v>37</v>
      </c>
      <c r="C109">
        <v>3</v>
      </c>
      <c r="D109" s="1">
        <v>45832.375</v>
      </c>
      <c r="E109" t="s">
        <v>398</v>
      </c>
      <c r="F109" t="s">
        <v>527</v>
      </c>
      <c r="G109" t="s">
        <v>419</v>
      </c>
      <c r="H109" t="str">
        <f t="shared" si="3"/>
        <v>TAK</v>
      </c>
    </row>
    <row r="110" spans="1:8" x14ac:dyDescent="0.3">
      <c r="A110">
        <v>109</v>
      </c>
      <c r="B110">
        <v>41</v>
      </c>
      <c r="C110">
        <v>2</v>
      </c>
      <c r="D110" s="1">
        <v>45832.4375</v>
      </c>
      <c r="E110" t="s">
        <v>394</v>
      </c>
      <c r="F110" t="s">
        <v>528</v>
      </c>
      <c r="G110" t="s">
        <v>419</v>
      </c>
      <c r="H110" t="str">
        <f t="shared" si="3"/>
        <v>TAK</v>
      </c>
    </row>
    <row r="111" spans="1:8" x14ac:dyDescent="0.3">
      <c r="A111">
        <v>110</v>
      </c>
      <c r="B111">
        <v>44</v>
      </c>
      <c r="C111">
        <v>5</v>
      </c>
      <c r="D111" s="1">
        <v>45833.375</v>
      </c>
      <c r="E111" t="s">
        <v>427</v>
      </c>
      <c r="F111" t="s">
        <v>443</v>
      </c>
      <c r="G111" t="s">
        <v>419</v>
      </c>
      <c r="H111" t="str">
        <f t="shared" si="3"/>
        <v>TAK</v>
      </c>
    </row>
    <row r="112" spans="1:8" x14ac:dyDescent="0.3">
      <c r="A112">
        <v>111</v>
      </c>
      <c r="B112">
        <v>45</v>
      </c>
      <c r="C112">
        <v>5</v>
      </c>
      <c r="D112" s="1">
        <v>45833.458333333336</v>
      </c>
      <c r="E112" t="s">
        <v>529</v>
      </c>
      <c r="F112" t="s">
        <v>530</v>
      </c>
      <c r="G112" t="s">
        <v>419</v>
      </c>
      <c r="H112" t="str">
        <f t="shared" si="3"/>
        <v>TAK</v>
      </c>
    </row>
    <row r="113" spans="1:8" x14ac:dyDescent="0.3">
      <c r="A113">
        <v>112</v>
      </c>
      <c r="B113">
        <v>47</v>
      </c>
      <c r="C113">
        <v>2</v>
      </c>
      <c r="D113" s="1">
        <v>45834.416666666664</v>
      </c>
      <c r="E113" t="s">
        <v>420</v>
      </c>
      <c r="F113" t="s">
        <v>531</v>
      </c>
      <c r="G113" t="s">
        <v>419</v>
      </c>
      <c r="H113" t="str">
        <f t="shared" si="3"/>
        <v>TAK</v>
      </c>
    </row>
    <row r="114" spans="1:8" x14ac:dyDescent="0.3">
      <c r="A114">
        <v>113</v>
      </c>
      <c r="B114">
        <v>53</v>
      </c>
      <c r="C114">
        <v>2</v>
      </c>
      <c r="D114" s="1">
        <v>45834.479166666664</v>
      </c>
      <c r="E114" t="s">
        <v>394</v>
      </c>
      <c r="F114" t="s">
        <v>532</v>
      </c>
      <c r="G114" t="s">
        <v>419</v>
      </c>
      <c r="H114" t="str">
        <f t="shared" si="3"/>
        <v>TAK</v>
      </c>
    </row>
    <row r="115" spans="1:8" x14ac:dyDescent="0.3">
      <c r="A115">
        <v>114</v>
      </c>
      <c r="B115">
        <v>55</v>
      </c>
      <c r="C115">
        <v>5</v>
      </c>
      <c r="D115" s="1">
        <v>45835.375</v>
      </c>
      <c r="E115" t="s">
        <v>427</v>
      </c>
      <c r="F115" t="s">
        <v>533</v>
      </c>
      <c r="G115" t="s">
        <v>419</v>
      </c>
      <c r="H115" t="str">
        <f t="shared" si="3"/>
        <v>TAK</v>
      </c>
    </row>
    <row r="116" spans="1:8" x14ac:dyDescent="0.3">
      <c r="A116">
        <v>115</v>
      </c>
      <c r="B116">
        <v>57</v>
      </c>
      <c r="C116">
        <v>5</v>
      </c>
      <c r="D116" s="1">
        <v>45835.4375</v>
      </c>
      <c r="E116" t="s">
        <v>453</v>
      </c>
      <c r="F116" t="s">
        <v>534</v>
      </c>
      <c r="G116" t="s">
        <v>419</v>
      </c>
      <c r="H116" t="str">
        <f t="shared" si="3"/>
        <v>TAK</v>
      </c>
    </row>
    <row r="117" spans="1:8" x14ac:dyDescent="0.3">
      <c r="A117">
        <v>116</v>
      </c>
      <c r="B117">
        <v>59</v>
      </c>
      <c r="C117">
        <v>2</v>
      </c>
      <c r="D117" s="1">
        <v>45838.375</v>
      </c>
      <c r="E117" t="s">
        <v>394</v>
      </c>
      <c r="F117" t="s">
        <v>535</v>
      </c>
      <c r="G117" t="s">
        <v>419</v>
      </c>
      <c r="H117" t="str">
        <f t="shared" si="3"/>
        <v>TAK</v>
      </c>
    </row>
    <row r="118" spans="1:8" x14ac:dyDescent="0.3">
      <c r="A118">
        <v>117</v>
      </c>
      <c r="B118">
        <v>61</v>
      </c>
      <c r="C118">
        <v>6</v>
      </c>
      <c r="D118" s="1">
        <v>45838.458333333336</v>
      </c>
      <c r="E118" t="s">
        <v>409</v>
      </c>
      <c r="F118" t="s">
        <v>536</v>
      </c>
      <c r="G118" t="s">
        <v>419</v>
      </c>
      <c r="H118" t="str">
        <f t="shared" si="3"/>
        <v>TAK</v>
      </c>
    </row>
    <row r="119" spans="1:8" x14ac:dyDescent="0.3">
      <c r="A119">
        <v>118</v>
      </c>
      <c r="B119">
        <v>1</v>
      </c>
      <c r="C119">
        <v>5</v>
      </c>
      <c r="D119" s="1">
        <v>45839.375</v>
      </c>
      <c r="E119" t="s">
        <v>427</v>
      </c>
      <c r="F119" t="s">
        <v>537</v>
      </c>
      <c r="G119" t="s">
        <v>419</v>
      </c>
      <c r="H119" t="str">
        <f t="shared" si="3"/>
        <v>TAK</v>
      </c>
    </row>
    <row r="120" spans="1:8" x14ac:dyDescent="0.3">
      <c r="A120">
        <v>119</v>
      </c>
      <c r="B120">
        <v>2</v>
      </c>
      <c r="C120">
        <v>2</v>
      </c>
      <c r="D120" s="1">
        <v>45839.4375</v>
      </c>
      <c r="E120" t="s">
        <v>501</v>
      </c>
      <c r="F120" t="s">
        <v>538</v>
      </c>
      <c r="G120" t="s">
        <v>419</v>
      </c>
      <c r="H120" t="str">
        <f t="shared" si="3"/>
        <v>TAK</v>
      </c>
    </row>
    <row r="121" spans="1:8" x14ac:dyDescent="0.3">
      <c r="A121">
        <v>120</v>
      </c>
      <c r="B121">
        <v>3</v>
      </c>
      <c r="C121">
        <v>1</v>
      </c>
      <c r="D121" s="1">
        <v>45840.375</v>
      </c>
      <c r="E121" t="s">
        <v>417</v>
      </c>
      <c r="F121" t="s">
        <v>539</v>
      </c>
      <c r="G121" t="s">
        <v>419</v>
      </c>
      <c r="H121" t="str">
        <f t="shared" si="3"/>
        <v>TAK</v>
      </c>
    </row>
    <row r="122" spans="1:8" x14ac:dyDescent="0.3">
      <c r="A122">
        <v>121</v>
      </c>
      <c r="B122">
        <v>4</v>
      </c>
      <c r="C122">
        <v>3</v>
      </c>
      <c r="D122" s="1">
        <v>45840.4375</v>
      </c>
      <c r="E122" t="s">
        <v>398</v>
      </c>
      <c r="F122" t="s">
        <v>540</v>
      </c>
      <c r="G122" t="s">
        <v>419</v>
      </c>
      <c r="H122" t="str">
        <f t="shared" si="3"/>
        <v>TAK</v>
      </c>
    </row>
    <row r="123" spans="1:8" x14ac:dyDescent="0.3">
      <c r="A123">
        <v>122</v>
      </c>
      <c r="B123">
        <v>6</v>
      </c>
      <c r="C123">
        <v>2</v>
      </c>
      <c r="D123" s="1">
        <v>45841.395833333336</v>
      </c>
      <c r="E123" t="s">
        <v>394</v>
      </c>
      <c r="F123" t="s">
        <v>541</v>
      </c>
      <c r="G123" t="s">
        <v>419</v>
      </c>
      <c r="H123" t="str">
        <f t="shared" si="3"/>
        <v>TAK</v>
      </c>
    </row>
    <row r="124" spans="1:8" x14ac:dyDescent="0.3">
      <c r="A124">
        <v>123</v>
      </c>
      <c r="B124">
        <v>7</v>
      </c>
      <c r="C124">
        <v>4</v>
      </c>
      <c r="D124" s="1">
        <v>45841.458333333336</v>
      </c>
      <c r="E124" t="s">
        <v>427</v>
      </c>
      <c r="F124" t="s">
        <v>542</v>
      </c>
      <c r="G124" t="s">
        <v>419</v>
      </c>
      <c r="H124" t="str">
        <f t="shared" si="3"/>
        <v>TAK</v>
      </c>
    </row>
    <row r="125" spans="1:8" x14ac:dyDescent="0.3">
      <c r="A125">
        <v>124</v>
      </c>
      <c r="B125">
        <v>8</v>
      </c>
      <c r="C125">
        <v>4</v>
      </c>
      <c r="D125" s="1">
        <v>45842.375</v>
      </c>
      <c r="E125" t="s">
        <v>429</v>
      </c>
      <c r="F125" t="s">
        <v>543</v>
      </c>
      <c r="G125" t="s">
        <v>419</v>
      </c>
      <c r="H125" t="str">
        <f t="shared" si="3"/>
        <v>TAK</v>
      </c>
    </row>
    <row r="126" spans="1:8" x14ac:dyDescent="0.3">
      <c r="A126">
        <v>125</v>
      </c>
      <c r="B126">
        <v>9</v>
      </c>
      <c r="C126">
        <v>3</v>
      </c>
      <c r="D126" s="1">
        <v>45842.4375</v>
      </c>
      <c r="E126" t="s">
        <v>398</v>
      </c>
      <c r="F126" t="s">
        <v>544</v>
      </c>
      <c r="G126" t="s">
        <v>419</v>
      </c>
      <c r="H126" t="str">
        <f t="shared" si="3"/>
        <v>TAK</v>
      </c>
    </row>
    <row r="127" spans="1:8" x14ac:dyDescent="0.3">
      <c r="A127">
        <v>126</v>
      </c>
      <c r="B127">
        <v>11</v>
      </c>
      <c r="C127">
        <v>5</v>
      </c>
      <c r="D127" s="1">
        <v>45845.375</v>
      </c>
      <c r="E127" t="s">
        <v>427</v>
      </c>
      <c r="F127" t="s">
        <v>418</v>
      </c>
      <c r="G127" t="s">
        <v>419</v>
      </c>
      <c r="H127" t="str">
        <f t="shared" si="3"/>
        <v>TAK</v>
      </c>
    </row>
    <row r="128" spans="1:8" x14ac:dyDescent="0.3">
      <c r="A128">
        <v>127</v>
      </c>
      <c r="B128">
        <v>12</v>
      </c>
      <c r="C128">
        <v>1</v>
      </c>
      <c r="D128" s="1">
        <v>45845.4375</v>
      </c>
      <c r="E128" t="s">
        <v>417</v>
      </c>
      <c r="F128" t="s">
        <v>545</v>
      </c>
      <c r="G128" t="s">
        <v>419</v>
      </c>
      <c r="H128" t="str">
        <f t="shared" si="3"/>
        <v>TAK</v>
      </c>
    </row>
    <row r="129" spans="1:8" x14ac:dyDescent="0.3">
      <c r="A129">
        <v>128</v>
      </c>
      <c r="B129">
        <v>17</v>
      </c>
      <c r="C129">
        <v>1</v>
      </c>
      <c r="D129" s="1">
        <v>45846.375</v>
      </c>
      <c r="E129" t="s">
        <v>422</v>
      </c>
      <c r="F129" t="s">
        <v>546</v>
      </c>
      <c r="G129" t="s">
        <v>419</v>
      </c>
      <c r="H129" t="str">
        <f t="shared" si="3"/>
        <v>TAK</v>
      </c>
    </row>
    <row r="130" spans="1:8" x14ac:dyDescent="0.3">
      <c r="A130">
        <v>129</v>
      </c>
      <c r="B130">
        <v>18</v>
      </c>
      <c r="C130">
        <v>4</v>
      </c>
      <c r="D130" s="1">
        <v>45846.4375</v>
      </c>
      <c r="E130" t="s">
        <v>429</v>
      </c>
      <c r="F130" t="s">
        <v>547</v>
      </c>
      <c r="G130" t="s">
        <v>419</v>
      </c>
      <c r="H130" t="str">
        <f t="shared" ref="H130:H161" si="4">IF(AND(B130&lt;&gt;"",G130="zakończona"),"TAK","NIE")</f>
        <v>TAK</v>
      </c>
    </row>
    <row r="131" spans="1:8" x14ac:dyDescent="0.3">
      <c r="A131">
        <v>130</v>
      </c>
      <c r="B131">
        <v>19</v>
      </c>
      <c r="C131">
        <v>5</v>
      </c>
      <c r="D131" s="1">
        <v>45847.375</v>
      </c>
      <c r="E131" t="s">
        <v>417</v>
      </c>
      <c r="F131" t="s">
        <v>548</v>
      </c>
      <c r="G131" t="s">
        <v>419</v>
      </c>
      <c r="H131" t="str">
        <f t="shared" si="4"/>
        <v>TAK</v>
      </c>
    </row>
    <row r="132" spans="1:8" x14ac:dyDescent="0.3">
      <c r="A132">
        <v>131</v>
      </c>
      <c r="B132">
        <v>23</v>
      </c>
      <c r="C132">
        <v>1</v>
      </c>
      <c r="D132" s="1">
        <v>45847.458333333336</v>
      </c>
      <c r="E132" t="s">
        <v>422</v>
      </c>
      <c r="F132" t="s">
        <v>549</v>
      </c>
      <c r="G132" t="s">
        <v>419</v>
      </c>
      <c r="H132" t="str">
        <f t="shared" si="4"/>
        <v>TAK</v>
      </c>
    </row>
    <row r="133" spans="1:8" x14ac:dyDescent="0.3">
      <c r="A133">
        <v>132</v>
      </c>
      <c r="B133">
        <v>24</v>
      </c>
      <c r="C133">
        <v>4</v>
      </c>
      <c r="D133" s="1">
        <v>45848.395833333336</v>
      </c>
      <c r="E133" t="s">
        <v>429</v>
      </c>
      <c r="F133" t="s">
        <v>550</v>
      </c>
      <c r="G133" t="s">
        <v>419</v>
      </c>
      <c r="H133" t="str">
        <f t="shared" si="4"/>
        <v>TAK</v>
      </c>
    </row>
    <row r="134" spans="1:8" x14ac:dyDescent="0.3">
      <c r="A134">
        <v>133</v>
      </c>
      <c r="B134">
        <v>26</v>
      </c>
      <c r="C134">
        <v>5</v>
      </c>
      <c r="D134" s="1">
        <v>45848.458333333336</v>
      </c>
      <c r="E134" t="s">
        <v>453</v>
      </c>
      <c r="F134" t="s">
        <v>551</v>
      </c>
      <c r="G134" t="s">
        <v>419</v>
      </c>
      <c r="H134" t="str">
        <f t="shared" si="4"/>
        <v>TAK</v>
      </c>
    </row>
    <row r="135" spans="1:8" x14ac:dyDescent="0.3">
      <c r="A135">
        <v>134</v>
      </c>
      <c r="B135">
        <v>31</v>
      </c>
      <c r="C135">
        <v>5</v>
      </c>
      <c r="D135" s="1">
        <v>45852.375</v>
      </c>
      <c r="E135" t="s">
        <v>427</v>
      </c>
      <c r="F135" t="s">
        <v>552</v>
      </c>
      <c r="G135" t="s">
        <v>419</v>
      </c>
      <c r="H135" t="str">
        <f t="shared" si="4"/>
        <v>TAK</v>
      </c>
    </row>
    <row r="136" spans="1:8" x14ac:dyDescent="0.3">
      <c r="A136">
        <v>135</v>
      </c>
      <c r="B136">
        <v>32</v>
      </c>
      <c r="C136">
        <v>1</v>
      </c>
      <c r="D136" s="1">
        <v>45852.4375</v>
      </c>
      <c r="E136" t="s">
        <v>422</v>
      </c>
      <c r="F136" t="s">
        <v>553</v>
      </c>
      <c r="G136" t="s">
        <v>419</v>
      </c>
      <c r="H136" t="str">
        <f t="shared" si="4"/>
        <v>TAK</v>
      </c>
    </row>
    <row r="137" spans="1:8" x14ac:dyDescent="0.3">
      <c r="A137">
        <v>136</v>
      </c>
      <c r="B137">
        <v>33</v>
      </c>
      <c r="C137">
        <v>5</v>
      </c>
      <c r="D137" s="1">
        <v>45853.375</v>
      </c>
      <c r="E137" t="s">
        <v>417</v>
      </c>
      <c r="F137" t="s">
        <v>554</v>
      </c>
      <c r="G137" t="s">
        <v>419</v>
      </c>
      <c r="H137" t="str">
        <f t="shared" si="4"/>
        <v>TAK</v>
      </c>
    </row>
    <row r="138" spans="1:8" x14ac:dyDescent="0.3">
      <c r="A138">
        <v>137</v>
      </c>
      <c r="B138">
        <v>38</v>
      </c>
      <c r="C138">
        <v>4</v>
      </c>
      <c r="D138" s="1">
        <v>45853.458333333336</v>
      </c>
      <c r="E138" t="s">
        <v>429</v>
      </c>
      <c r="F138" t="s">
        <v>555</v>
      </c>
      <c r="G138" t="s">
        <v>419</v>
      </c>
      <c r="H138" t="str">
        <f t="shared" si="4"/>
        <v>TAK</v>
      </c>
    </row>
    <row r="139" spans="1:8" x14ac:dyDescent="0.3">
      <c r="A139">
        <v>138</v>
      </c>
      <c r="B139">
        <v>39</v>
      </c>
      <c r="C139">
        <v>5</v>
      </c>
      <c r="D139" s="1">
        <v>45854.375</v>
      </c>
      <c r="E139" t="s">
        <v>453</v>
      </c>
      <c r="F139" t="s">
        <v>556</v>
      </c>
      <c r="G139" t="s">
        <v>419</v>
      </c>
      <c r="H139" t="str">
        <f t="shared" si="4"/>
        <v>TAK</v>
      </c>
    </row>
    <row r="140" spans="1:8" x14ac:dyDescent="0.3">
      <c r="A140">
        <v>139</v>
      </c>
      <c r="B140">
        <v>40</v>
      </c>
      <c r="C140">
        <v>6</v>
      </c>
      <c r="D140" s="1">
        <v>45854.4375</v>
      </c>
      <c r="E140" t="s">
        <v>409</v>
      </c>
      <c r="F140" t="s">
        <v>557</v>
      </c>
      <c r="G140" t="s">
        <v>419</v>
      </c>
      <c r="H140" t="str">
        <f t="shared" si="4"/>
        <v>TAK</v>
      </c>
    </row>
    <row r="141" spans="1:8" x14ac:dyDescent="0.3">
      <c r="A141">
        <v>140</v>
      </c>
      <c r="B141">
        <v>46</v>
      </c>
      <c r="C141">
        <v>6</v>
      </c>
      <c r="D141" s="1">
        <v>45855.375</v>
      </c>
      <c r="E141" t="s">
        <v>409</v>
      </c>
      <c r="F141" t="s">
        <v>558</v>
      </c>
      <c r="G141" t="s">
        <v>419</v>
      </c>
      <c r="H141" t="str">
        <f t="shared" si="4"/>
        <v>TAK</v>
      </c>
    </row>
    <row r="142" spans="1:8" x14ac:dyDescent="0.3">
      <c r="A142">
        <v>141</v>
      </c>
      <c r="B142">
        <v>49</v>
      </c>
      <c r="C142">
        <v>3</v>
      </c>
      <c r="D142" s="1">
        <v>45855.4375</v>
      </c>
      <c r="E142" t="s">
        <v>398</v>
      </c>
      <c r="F142" t="s">
        <v>559</v>
      </c>
      <c r="G142" t="s">
        <v>419</v>
      </c>
      <c r="H142" t="str">
        <f t="shared" si="4"/>
        <v>TAK</v>
      </c>
    </row>
    <row r="143" spans="1:8" x14ac:dyDescent="0.3">
      <c r="A143">
        <v>142</v>
      </c>
      <c r="B143">
        <v>52</v>
      </c>
      <c r="C143">
        <v>1</v>
      </c>
      <c r="D143" s="1">
        <v>45859.375</v>
      </c>
      <c r="E143" t="s">
        <v>417</v>
      </c>
      <c r="F143" t="s">
        <v>560</v>
      </c>
      <c r="G143" t="s">
        <v>419</v>
      </c>
      <c r="H143" t="str">
        <f t="shared" si="4"/>
        <v>TAK</v>
      </c>
    </row>
    <row r="144" spans="1:8" x14ac:dyDescent="0.3">
      <c r="A144">
        <v>143</v>
      </c>
      <c r="B144">
        <v>56</v>
      </c>
      <c r="C144">
        <v>4</v>
      </c>
      <c r="D144" s="1">
        <v>45859.4375</v>
      </c>
      <c r="E144" t="s">
        <v>429</v>
      </c>
      <c r="F144" t="s">
        <v>561</v>
      </c>
      <c r="G144" t="s">
        <v>419</v>
      </c>
      <c r="H144" t="str">
        <f t="shared" si="4"/>
        <v>TAK</v>
      </c>
    </row>
    <row r="145" spans="1:8" x14ac:dyDescent="0.3">
      <c r="A145">
        <v>144</v>
      </c>
      <c r="B145">
        <v>62</v>
      </c>
      <c r="C145">
        <v>4</v>
      </c>
      <c r="D145" s="1">
        <v>45860.375</v>
      </c>
      <c r="E145" t="s">
        <v>429</v>
      </c>
      <c r="F145" t="s">
        <v>562</v>
      </c>
      <c r="G145" t="s">
        <v>419</v>
      </c>
      <c r="H145" t="str">
        <f t="shared" si="4"/>
        <v>TAK</v>
      </c>
    </row>
    <row r="146" spans="1:8" x14ac:dyDescent="0.3">
      <c r="A146">
        <v>145</v>
      </c>
      <c r="B146">
        <v>63</v>
      </c>
      <c r="C146">
        <v>2</v>
      </c>
      <c r="D146" s="1">
        <v>45860.4375</v>
      </c>
      <c r="E146" t="s">
        <v>394</v>
      </c>
      <c r="F146" t="s">
        <v>563</v>
      </c>
      <c r="G146" t="s">
        <v>419</v>
      </c>
      <c r="H146" t="str">
        <f t="shared" si="4"/>
        <v>TAK</v>
      </c>
    </row>
    <row r="147" spans="1:8" x14ac:dyDescent="0.3">
      <c r="A147">
        <v>146</v>
      </c>
      <c r="B147">
        <v>64</v>
      </c>
      <c r="C147">
        <v>5</v>
      </c>
      <c r="D147" s="1">
        <v>45861.375</v>
      </c>
      <c r="E147" t="s">
        <v>417</v>
      </c>
      <c r="F147" t="s">
        <v>564</v>
      </c>
      <c r="G147" t="s">
        <v>419</v>
      </c>
      <c r="H147" t="str">
        <f t="shared" si="4"/>
        <v>TAK</v>
      </c>
    </row>
    <row r="148" spans="1:8" x14ac:dyDescent="0.3">
      <c r="A148">
        <v>147</v>
      </c>
      <c r="B148">
        <v>65</v>
      </c>
      <c r="C148">
        <v>5</v>
      </c>
      <c r="D148" s="1">
        <v>45861.4375</v>
      </c>
      <c r="E148" t="s">
        <v>427</v>
      </c>
      <c r="F148" t="s">
        <v>565</v>
      </c>
      <c r="G148" t="s">
        <v>419</v>
      </c>
      <c r="H148" t="str">
        <f t="shared" si="4"/>
        <v>TAK</v>
      </c>
    </row>
    <row r="149" spans="1:8" x14ac:dyDescent="0.3">
      <c r="A149">
        <v>148</v>
      </c>
      <c r="B149">
        <v>67</v>
      </c>
      <c r="C149">
        <v>2</v>
      </c>
      <c r="D149" s="1">
        <v>45862.375</v>
      </c>
      <c r="E149" t="s">
        <v>420</v>
      </c>
      <c r="F149" t="s">
        <v>566</v>
      </c>
      <c r="G149" t="s">
        <v>419</v>
      </c>
      <c r="H149" t="str">
        <f t="shared" si="4"/>
        <v>TAK</v>
      </c>
    </row>
    <row r="150" spans="1:8" x14ac:dyDescent="0.3">
      <c r="A150">
        <v>149</v>
      </c>
      <c r="B150">
        <v>69</v>
      </c>
      <c r="C150">
        <v>5</v>
      </c>
      <c r="D150" s="1">
        <v>45862.458333333336</v>
      </c>
      <c r="E150" t="s">
        <v>417</v>
      </c>
      <c r="F150" t="s">
        <v>567</v>
      </c>
      <c r="G150" t="s">
        <v>419</v>
      </c>
      <c r="H150" t="str">
        <f t="shared" si="4"/>
        <v>TAK</v>
      </c>
    </row>
    <row r="151" spans="1:8" x14ac:dyDescent="0.3">
      <c r="A151">
        <v>150</v>
      </c>
      <c r="B151">
        <v>73</v>
      </c>
      <c r="C151">
        <v>4</v>
      </c>
      <c r="D151" s="1">
        <v>45866.375</v>
      </c>
      <c r="E151" t="s">
        <v>429</v>
      </c>
      <c r="F151" t="s">
        <v>568</v>
      </c>
      <c r="G151" t="s">
        <v>419</v>
      </c>
      <c r="H151" t="str">
        <f t="shared" si="4"/>
        <v>TAK</v>
      </c>
    </row>
    <row r="152" spans="1:8" x14ac:dyDescent="0.3">
      <c r="A152">
        <v>151</v>
      </c>
      <c r="B152">
        <v>74</v>
      </c>
      <c r="C152">
        <v>1</v>
      </c>
      <c r="D152" s="1">
        <v>45866.4375</v>
      </c>
      <c r="E152" t="s">
        <v>389</v>
      </c>
      <c r="F152" t="s">
        <v>569</v>
      </c>
      <c r="G152" t="s">
        <v>419</v>
      </c>
      <c r="H152" t="str">
        <f t="shared" si="4"/>
        <v>TAK</v>
      </c>
    </row>
    <row r="153" spans="1:8" x14ac:dyDescent="0.3">
      <c r="A153">
        <v>152</v>
      </c>
      <c r="B153">
        <v>75</v>
      </c>
      <c r="C153">
        <v>2</v>
      </c>
      <c r="D153" s="1">
        <v>45867.375</v>
      </c>
      <c r="E153" t="s">
        <v>394</v>
      </c>
      <c r="F153" t="s">
        <v>570</v>
      </c>
      <c r="G153" t="s">
        <v>419</v>
      </c>
      <c r="H153" t="str">
        <f t="shared" si="4"/>
        <v>TAK</v>
      </c>
    </row>
    <row r="154" spans="1:8" x14ac:dyDescent="0.3">
      <c r="A154">
        <v>153</v>
      </c>
      <c r="B154">
        <v>76</v>
      </c>
      <c r="C154">
        <v>5</v>
      </c>
      <c r="D154" s="1">
        <v>45867.4375</v>
      </c>
      <c r="E154" t="s">
        <v>427</v>
      </c>
      <c r="F154" t="s">
        <v>571</v>
      </c>
      <c r="G154" t="s">
        <v>419</v>
      </c>
      <c r="H154" t="str">
        <f t="shared" si="4"/>
        <v>TAK</v>
      </c>
    </row>
    <row r="155" spans="1:8" x14ac:dyDescent="0.3">
      <c r="A155">
        <v>154</v>
      </c>
      <c r="B155">
        <v>78</v>
      </c>
      <c r="C155">
        <v>6</v>
      </c>
      <c r="D155" s="1">
        <v>45868.375</v>
      </c>
      <c r="E155" t="s">
        <v>409</v>
      </c>
      <c r="F155" t="s">
        <v>572</v>
      </c>
      <c r="G155" t="s">
        <v>419</v>
      </c>
      <c r="H155" t="str">
        <f t="shared" si="4"/>
        <v>TAK</v>
      </c>
    </row>
    <row r="156" spans="1:8" hidden="1" x14ac:dyDescent="0.3">
      <c r="A156">
        <v>155</v>
      </c>
      <c r="B156">
        <v>1</v>
      </c>
      <c r="C156">
        <v>5</v>
      </c>
      <c r="D156" s="1">
        <v>45873.375</v>
      </c>
      <c r="E156" t="s">
        <v>427</v>
      </c>
      <c r="F156" t="s">
        <v>573</v>
      </c>
      <c r="G156" t="s">
        <v>574</v>
      </c>
      <c r="H156" t="str">
        <f t="shared" si="4"/>
        <v>NIE</v>
      </c>
    </row>
    <row r="157" spans="1:8" hidden="1" x14ac:dyDescent="0.3">
      <c r="A157">
        <v>156</v>
      </c>
      <c r="B157">
        <v>3</v>
      </c>
      <c r="C157">
        <v>1</v>
      </c>
      <c r="D157" s="1">
        <v>45873.4375</v>
      </c>
      <c r="E157" t="s">
        <v>417</v>
      </c>
      <c r="F157" t="s">
        <v>575</v>
      </c>
      <c r="G157" t="s">
        <v>574</v>
      </c>
      <c r="H157" t="str">
        <f t="shared" si="4"/>
        <v>NIE</v>
      </c>
    </row>
    <row r="158" spans="1:8" hidden="1" x14ac:dyDescent="0.3">
      <c r="A158">
        <v>157</v>
      </c>
      <c r="B158">
        <v>5</v>
      </c>
      <c r="C158">
        <v>1</v>
      </c>
      <c r="D158" s="1">
        <v>45874.375</v>
      </c>
      <c r="E158" t="s">
        <v>506</v>
      </c>
      <c r="F158" t="s">
        <v>576</v>
      </c>
      <c r="G158" t="s">
        <v>574</v>
      </c>
      <c r="H158" t="str">
        <f t="shared" si="4"/>
        <v>NIE</v>
      </c>
    </row>
    <row r="159" spans="1:8" hidden="1" x14ac:dyDescent="0.3">
      <c r="A159">
        <v>158</v>
      </c>
      <c r="B159">
        <v>7</v>
      </c>
      <c r="C159">
        <v>4</v>
      </c>
      <c r="D159" s="1">
        <v>45874.458333333336</v>
      </c>
      <c r="E159" t="s">
        <v>429</v>
      </c>
      <c r="F159" t="s">
        <v>577</v>
      </c>
      <c r="G159" t="s">
        <v>574</v>
      </c>
      <c r="H159" t="str">
        <f t="shared" si="4"/>
        <v>NIE</v>
      </c>
    </row>
    <row r="160" spans="1:8" hidden="1" x14ac:dyDescent="0.3">
      <c r="A160">
        <v>159</v>
      </c>
      <c r="B160">
        <v>10</v>
      </c>
      <c r="D160" s="1">
        <v>45875.395833333336</v>
      </c>
      <c r="E160" t="s">
        <v>427</v>
      </c>
      <c r="G160" t="s">
        <v>574</v>
      </c>
      <c r="H160" t="str">
        <f t="shared" si="4"/>
        <v>NIE</v>
      </c>
    </row>
    <row r="161" spans="1:8" hidden="1" x14ac:dyDescent="0.3">
      <c r="A161">
        <v>160</v>
      </c>
      <c r="B161">
        <v>12</v>
      </c>
      <c r="C161">
        <v>1</v>
      </c>
      <c r="D161" s="1">
        <v>45875.458333333336</v>
      </c>
      <c r="E161" t="s">
        <v>422</v>
      </c>
      <c r="F161" t="s">
        <v>578</v>
      </c>
      <c r="G161" t="s">
        <v>574</v>
      </c>
      <c r="H161" t="str">
        <f t="shared" si="4"/>
        <v>NIE</v>
      </c>
    </row>
    <row r="162" spans="1:8" hidden="1" x14ac:dyDescent="0.3">
      <c r="A162">
        <v>161</v>
      </c>
      <c r="B162">
        <v>14</v>
      </c>
      <c r="C162">
        <v>2</v>
      </c>
      <c r="D162" s="1">
        <v>45876.375</v>
      </c>
      <c r="E162" t="s">
        <v>394</v>
      </c>
      <c r="G162" t="s">
        <v>574</v>
      </c>
      <c r="H162" t="str">
        <f t="shared" ref="H162:H187" si="5">IF(AND(B162&lt;&gt;"",G162="zakończona"),"TAK","NIE")</f>
        <v>NIE</v>
      </c>
    </row>
    <row r="163" spans="1:8" hidden="1" x14ac:dyDescent="0.3">
      <c r="A163">
        <v>162</v>
      </c>
      <c r="B163">
        <v>17</v>
      </c>
      <c r="C163">
        <v>5</v>
      </c>
      <c r="D163" s="1">
        <v>45876.4375</v>
      </c>
      <c r="E163" t="s">
        <v>427</v>
      </c>
      <c r="G163" t="s">
        <v>574</v>
      </c>
      <c r="H163" t="str">
        <f t="shared" si="5"/>
        <v>NIE</v>
      </c>
    </row>
    <row r="164" spans="1:8" hidden="1" x14ac:dyDescent="0.3">
      <c r="A164">
        <v>163</v>
      </c>
      <c r="B164">
        <v>19</v>
      </c>
      <c r="C164">
        <v>5</v>
      </c>
      <c r="D164" s="1">
        <v>45880.375</v>
      </c>
      <c r="E164" t="s">
        <v>453</v>
      </c>
      <c r="G164" t="s">
        <v>574</v>
      </c>
      <c r="H164" t="str">
        <f t="shared" si="5"/>
        <v>NIE</v>
      </c>
    </row>
    <row r="165" spans="1:8" hidden="1" x14ac:dyDescent="0.3">
      <c r="A165">
        <v>164</v>
      </c>
      <c r="B165">
        <v>22</v>
      </c>
      <c r="C165">
        <v>6</v>
      </c>
      <c r="D165" s="1">
        <v>45880.4375</v>
      </c>
      <c r="E165" t="s">
        <v>409</v>
      </c>
      <c r="F165" t="s">
        <v>579</v>
      </c>
      <c r="G165" t="s">
        <v>574</v>
      </c>
      <c r="H165" t="str">
        <f t="shared" si="5"/>
        <v>NIE</v>
      </c>
    </row>
    <row r="166" spans="1:8" hidden="1" x14ac:dyDescent="0.3">
      <c r="A166">
        <v>165</v>
      </c>
      <c r="B166">
        <v>25</v>
      </c>
      <c r="C166">
        <v>3</v>
      </c>
      <c r="D166" s="1">
        <v>45881.375</v>
      </c>
      <c r="E166" t="s">
        <v>481</v>
      </c>
      <c r="F166" t="s">
        <v>580</v>
      </c>
      <c r="G166" t="s">
        <v>574</v>
      </c>
      <c r="H166" t="str">
        <f t="shared" si="5"/>
        <v>NIE</v>
      </c>
    </row>
    <row r="167" spans="1:8" hidden="1" x14ac:dyDescent="0.3">
      <c r="A167">
        <v>166</v>
      </c>
      <c r="B167">
        <v>28</v>
      </c>
      <c r="C167">
        <v>6</v>
      </c>
      <c r="D167" s="1">
        <v>45881.458333333336</v>
      </c>
      <c r="E167" t="s">
        <v>409</v>
      </c>
      <c r="G167" t="s">
        <v>574</v>
      </c>
      <c r="H167" t="str">
        <f t="shared" si="5"/>
        <v>NIE</v>
      </c>
    </row>
    <row r="168" spans="1:8" hidden="1" x14ac:dyDescent="0.3">
      <c r="A168">
        <v>167</v>
      </c>
      <c r="B168">
        <v>30</v>
      </c>
      <c r="C168">
        <v>1</v>
      </c>
      <c r="D168" s="1">
        <v>45882.375</v>
      </c>
      <c r="E168" t="s">
        <v>427</v>
      </c>
      <c r="F168" t="s">
        <v>581</v>
      </c>
      <c r="G168" t="s">
        <v>574</v>
      </c>
      <c r="H168" t="str">
        <f t="shared" si="5"/>
        <v>NIE</v>
      </c>
    </row>
    <row r="169" spans="1:8" hidden="1" x14ac:dyDescent="0.3">
      <c r="A169">
        <v>168</v>
      </c>
      <c r="B169">
        <v>33</v>
      </c>
      <c r="C169">
        <v>5</v>
      </c>
      <c r="D169" s="1">
        <v>45882.4375</v>
      </c>
      <c r="E169" t="s">
        <v>417</v>
      </c>
      <c r="G169" t="s">
        <v>574</v>
      </c>
      <c r="H169" t="str">
        <f t="shared" si="5"/>
        <v>NIE</v>
      </c>
    </row>
    <row r="170" spans="1:8" hidden="1" x14ac:dyDescent="0.3">
      <c r="A170">
        <v>169</v>
      </c>
      <c r="B170">
        <v>36</v>
      </c>
      <c r="C170">
        <v>4</v>
      </c>
      <c r="D170" s="1">
        <v>45883.375</v>
      </c>
      <c r="E170" t="s">
        <v>429</v>
      </c>
      <c r="F170" t="s">
        <v>582</v>
      </c>
      <c r="G170" t="s">
        <v>574</v>
      </c>
      <c r="H170" t="str">
        <f t="shared" si="5"/>
        <v>NIE</v>
      </c>
    </row>
    <row r="171" spans="1:8" hidden="1" x14ac:dyDescent="0.3">
      <c r="A171">
        <v>170</v>
      </c>
      <c r="B171">
        <v>40</v>
      </c>
      <c r="C171">
        <v>6</v>
      </c>
      <c r="D171" s="1">
        <v>45883.458333333336</v>
      </c>
      <c r="E171" t="s">
        <v>447</v>
      </c>
      <c r="F171" t="s">
        <v>583</v>
      </c>
      <c r="G171" t="s">
        <v>574</v>
      </c>
      <c r="H171" t="str">
        <f t="shared" si="5"/>
        <v>NIE</v>
      </c>
    </row>
    <row r="172" spans="1:8" hidden="1" x14ac:dyDescent="0.3">
      <c r="A172">
        <v>171</v>
      </c>
      <c r="B172">
        <v>42</v>
      </c>
      <c r="C172">
        <v>1</v>
      </c>
      <c r="D172" s="1">
        <v>45887.375</v>
      </c>
      <c r="E172" t="s">
        <v>506</v>
      </c>
      <c r="G172" t="s">
        <v>574</v>
      </c>
      <c r="H172" t="str">
        <f t="shared" si="5"/>
        <v>NIE</v>
      </c>
    </row>
    <row r="173" spans="1:8" hidden="1" x14ac:dyDescent="0.3">
      <c r="A173">
        <v>172</v>
      </c>
      <c r="B173">
        <v>45</v>
      </c>
      <c r="C173">
        <v>5</v>
      </c>
      <c r="D173" s="1">
        <v>45887.4375</v>
      </c>
      <c r="E173" t="s">
        <v>584</v>
      </c>
      <c r="F173" t="s">
        <v>585</v>
      </c>
      <c r="G173" t="s">
        <v>574</v>
      </c>
      <c r="H173" t="str">
        <f t="shared" si="5"/>
        <v>NIE</v>
      </c>
    </row>
    <row r="174" spans="1:8" hidden="1" x14ac:dyDescent="0.3">
      <c r="A174">
        <v>173</v>
      </c>
      <c r="B174">
        <v>46</v>
      </c>
      <c r="C174">
        <v>6</v>
      </c>
      <c r="D174" s="1">
        <v>45888.375</v>
      </c>
      <c r="E174" t="s">
        <v>409</v>
      </c>
      <c r="G174" t="s">
        <v>574</v>
      </c>
      <c r="H174" t="str">
        <f t="shared" si="5"/>
        <v>NIE</v>
      </c>
    </row>
    <row r="175" spans="1:8" hidden="1" x14ac:dyDescent="0.3">
      <c r="A175">
        <v>174</v>
      </c>
      <c r="B175">
        <v>48</v>
      </c>
      <c r="C175">
        <v>1</v>
      </c>
      <c r="D175" s="1">
        <v>45888.4375</v>
      </c>
      <c r="E175" t="s">
        <v>427</v>
      </c>
      <c r="F175" t="s">
        <v>586</v>
      </c>
      <c r="G175" t="s">
        <v>574</v>
      </c>
      <c r="H175" t="str">
        <f t="shared" si="5"/>
        <v>NIE</v>
      </c>
    </row>
    <row r="176" spans="1:8" hidden="1" x14ac:dyDescent="0.3">
      <c r="A176">
        <v>175</v>
      </c>
      <c r="B176">
        <v>52</v>
      </c>
      <c r="C176">
        <v>3</v>
      </c>
      <c r="D176" s="1">
        <v>45889.375</v>
      </c>
      <c r="E176" t="s">
        <v>398</v>
      </c>
      <c r="F176" t="s">
        <v>587</v>
      </c>
      <c r="G176" t="s">
        <v>574</v>
      </c>
      <c r="H176" t="str">
        <f t="shared" si="5"/>
        <v>NIE</v>
      </c>
    </row>
    <row r="177" spans="1:8" hidden="1" x14ac:dyDescent="0.3">
      <c r="A177">
        <v>176</v>
      </c>
      <c r="B177">
        <v>55</v>
      </c>
      <c r="C177">
        <v>5</v>
      </c>
      <c r="D177" s="1">
        <v>45889.458333333336</v>
      </c>
      <c r="E177" t="s">
        <v>427</v>
      </c>
      <c r="G177" t="s">
        <v>574</v>
      </c>
      <c r="H177" t="str">
        <f t="shared" si="5"/>
        <v>NIE</v>
      </c>
    </row>
    <row r="178" spans="1:8" hidden="1" x14ac:dyDescent="0.3">
      <c r="A178">
        <v>177</v>
      </c>
      <c r="B178">
        <v>57</v>
      </c>
      <c r="C178">
        <v>5</v>
      </c>
      <c r="D178" s="1">
        <v>45890.395833333336</v>
      </c>
      <c r="E178" t="s">
        <v>453</v>
      </c>
      <c r="F178" t="s">
        <v>466</v>
      </c>
      <c r="G178" t="s">
        <v>574</v>
      </c>
      <c r="H178" t="str">
        <f t="shared" si="5"/>
        <v>NIE</v>
      </c>
    </row>
    <row r="179" spans="1:8" hidden="1" x14ac:dyDescent="0.3">
      <c r="A179">
        <v>178</v>
      </c>
      <c r="B179">
        <v>60</v>
      </c>
      <c r="C179">
        <v>3</v>
      </c>
      <c r="D179" s="1">
        <v>45890.458333333336</v>
      </c>
      <c r="E179" t="s">
        <v>398</v>
      </c>
      <c r="F179" t="s">
        <v>588</v>
      </c>
      <c r="G179" t="s">
        <v>574</v>
      </c>
      <c r="H179" t="str">
        <f t="shared" si="5"/>
        <v>NIE</v>
      </c>
    </row>
    <row r="180" spans="1:8" hidden="1" x14ac:dyDescent="0.3">
      <c r="A180">
        <v>179</v>
      </c>
      <c r="B180">
        <v>62</v>
      </c>
      <c r="C180">
        <v>4</v>
      </c>
      <c r="D180" s="1">
        <v>45894.375</v>
      </c>
      <c r="E180" t="s">
        <v>429</v>
      </c>
      <c r="F180" t="s">
        <v>589</v>
      </c>
      <c r="G180" t="s">
        <v>574</v>
      </c>
      <c r="H180" t="str">
        <f t="shared" si="5"/>
        <v>NIE</v>
      </c>
    </row>
    <row r="181" spans="1:8" hidden="1" x14ac:dyDescent="0.3">
      <c r="A181">
        <v>180</v>
      </c>
      <c r="B181">
        <v>64</v>
      </c>
      <c r="D181" s="1">
        <v>45894.4375</v>
      </c>
      <c r="E181" t="s">
        <v>427</v>
      </c>
      <c r="F181" t="s">
        <v>590</v>
      </c>
      <c r="G181" t="s">
        <v>574</v>
      </c>
      <c r="H181" t="str">
        <f t="shared" si="5"/>
        <v>NIE</v>
      </c>
    </row>
    <row r="182" spans="1:8" hidden="1" x14ac:dyDescent="0.3">
      <c r="A182">
        <v>181</v>
      </c>
      <c r="B182">
        <v>66</v>
      </c>
      <c r="C182">
        <v>1</v>
      </c>
      <c r="D182" s="1">
        <v>45895.375</v>
      </c>
      <c r="E182" t="s">
        <v>591</v>
      </c>
      <c r="F182" t="s">
        <v>592</v>
      </c>
      <c r="G182" t="s">
        <v>574</v>
      </c>
      <c r="H182" t="str">
        <f t="shared" si="5"/>
        <v>NIE</v>
      </c>
    </row>
    <row r="183" spans="1:8" hidden="1" x14ac:dyDescent="0.3">
      <c r="A183">
        <v>182</v>
      </c>
      <c r="B183">
        <v>70</v>
      </c>
      <c r="C183">
        <v>6</v>
      </c>
      <c r="D183" s="1">
        <v>45895.4375</v>
      </c>
      <c r="E183" t="s">
        <v>409</v>
      </c>
      <c r="F183" t="s">
        <v>593</v>
      </c>
      <c r="G183" t="s">
        <v>574</v>
      </c>
      <c r="H183" t="str">
        <f t="shared" si="5"/>
        <v>NIE</v>
      </c>
    </row>
    <row r="184" spans="1:8" hidden="1" x14ac:dyDescent="0.3">
      <c r="A184">
        <v>183</v>
      </c>
      <c r="B184">
        <v>73</v>
      </c>
      <c r="C184">
        <v>4</v>
      </c>
      <c r="D184" s="1">
        <v>45896.375</v>
      </c>
      <c r="E184" t="s">
        <v>429</v>
      </c>
      <c r="F184" t="s">
        <v>594</v>
      </c>
      <c r="G184" t="s">
        <v>574</v>
      </c>
      <c r="H184" t="str">
        <f t="shared" si="5"/>
        <v>NIE</v>
      </c>
    </row>
    <row r="185" spans="1:8" hidden="1" x14ac:dyDescent="0.3">
      <c r="A185">
        <v>184</v>
      </c>
      <c r="B185">
        <v>74</v>
      </c>
      <c r="C185">
        <v>1</v>
      </c>
      <c r="D185" s="1">
        <v>45896.458333333336</v>
      </c>
      <c r="E185" t="s">
        <v>506</v>
      </c>
      <c r="F185" t="s">
        <v>595</v>
      </c>
      <c r="G185" t="s">
        <v>574</v>
      </c>
      <c r="H185" t="str">
        <f t="shared" si="5"/>
        <v>NIE</v>
      </c>
    </row>
    <row r="186" spans="1:8" hidden="1" x14ac:dyDescent="0.3">
      <c r="A186">
        <v>185</v>
      </c>
      <c r="B186">
        <v>76</v>
      </c>
      <c r="C186">
        <v>5</v>
      </c>
      <c r="D186" s="1">
        <v>45897.375</v>
      </c>
      <c r="E186" t="s">
        <v>417</v>
      </c>
      <c r="F186" t="s">
        <v>596</v>
      </c>
      <c r="G186" t="s">
        <v>574</v>
      </c>
      <c r="H186" t="str">
        <f t="shared" si="5"/>
        <v>NIE</v>
      </c>
    </row>
    <row r="187" spans="1:8" hidden="1" x14ac:dyDescent="0.3">
      <c r="A187">
        <v>186</v>
      </c>
      <c r="B187">
        <v>78</v>
      </c>
      <c r="C187">
        <v>6</v>
      </c>
      <c r="D187" s="1">
        <v>45897.4375</v>
      </c>
      <c r="E187" t="s">
        <v>409</v>
      </c>
      <c r="F187" t="s">
        <v>597</v>
      </c>
      <c r="G187" t="s">
        <v>574</v>
      </c>
      <c r="H187" t="str">
        <f t="shared" si="5"/>
        <v>NIE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topLeftCell="A2" workbookViewId="0">
      <selection activeCell="H2" sqref="H2"/>
    </sheetView>
  </sheetViews>
  <sheetFormatPr defaultRowHeight="14.4" x14ac:dyDescent="0.3"/>
  <cols>
    <col min="1" max="1" width="14.21875" bestFit="1" customWidth="1"/>
    <col min="2" max="2" width="9.109375" bestFit="1" customWidth="1"/>
    <col min="3" max="3" width="19.6640625" bestFit="1" customWidth="1"/>
    <col min="4" max="4" width="46.6640625" customWidth="1"/>
    <col min="5" max="5" width="38.6640625" customWidth="1"/>
    <col min="6" max="6" width="10.44140625" bestFit="1" customWidth="1"/>
    <col min="7" max="7" width="6.6640625" bestFit="1" customWidth="1"/>
    <col min="8" max="8" width="22.44140625" customWidth="1"/>
  </cols>
  <sheetData>
    <row r="1" spans="1:8" x14ac:dyDescent="0.3">
      <c r="A1" t="s">
        <v>598</v>
      </c>
      <c r="B1" t="s">
        <v>412</v>
      </c>
      <c r="C1" t="s">
        <v>189</v>
      </c>
      <c r="D1" t="s">
        <v>599</v>
      </c>
      <c r="E1" t="s">
        <v>415</v>
      </c>
      <c r="F1" t="s">
        <v>600</v>
      </c>
      <c r="G1" t="s">
        <v>601</v>
      </c>
      <c r="H1" t="s">
        <v>1026</v>
      </c>
    </row>
    <row r="2" spans="1:8" x14ac:dyDescent="0.3">
      <c r="A2">
        <v>1</v>
      </c>
      <c r="B2">
        <v>1</v>
      </c>
      <c r="C2" t="s">
        <v>417</v>
      </c>
      <c r="D2" t="s">
        <v>602</v>
      </c>
      <c r="E2" t="s">
        <v>603</v>
      </c>
      <c r="F2">
        <v>40</v>
      </c>
      <c r="G2">
        <v>50</v>
      </c>
      <c r="H2" t="str">
        <f t="shared" ref="H2:H33" si="0" xml:space="preserve"> IF(ISNUMBER(FIND("szczep",C2)),"Szczepienie",
IF(ISNUMBER(FIND("kardio",C2)),"Kardiologia",
IF(ISNUMBER(FIND("ortoped",C2)),"Ortopedia",
IF(ISNUMBER(FIND("uraz",C2)),"Ortopedia",
IF(ISNUMBER(FIND("dermat",C2)),"Dermatologia",
IF(ISNUMBER(FIND("chirurg",C2)),"Chirurgia",
IF(ISNUMBER(FIND("operac",C2)),"Chirurgia",
IF(ISNUMBER(FIND("diagnost",C2)),"Diagnostyka",
IF(ISNUMBER(FIND("odrobacz",C2)),"Odrobaczanie",
IF(ISNUMBER(FIND("kontrola",C2)),"Kontrola",
IF(ISNUMBER(FIND("alergia",C2)),"Dermatologia",
IF(ISNUMBER(FIND("dieta",C2)),"Dieta",
"Badanie ogólne"))))))))))))</f>
        <v>Szczepienie</v>
      </c>
    </row>
    <row r="3" spans="1:8" x14ac:dyDescent="0.3">
      <c r="A3">
        <v>2</v>
      </c>
      <c r="B3">
        <v>2</v>
      </c>
      <c r="C3" t="s">
        <v>420</v>
      </c>
      <c r="D3" t="s">
        <v>604</v>
      </c>
      <c r="E3" t="s">
        <v>605</v>
      </c>
      <c r="F3">
        <v>30</v>
      </c>
      <c r="G3">
        <v>40</v>
      </c>
      <c r="H3" t="str">
        <f t="shared" si="0"/>
        <v>Dermatologia</v>
      </c>
    </row>
    <row r="4" spans="1:8" x14ac:dyDescent="0.3">
      <c r="A4">
        <v>3</v>
      </c>
      <c r="B4">
        <v>3</v>
      </c>
      <c r="C4" t="s">
        <v>422</v>
      </c>
      <c r="D4" t="s">
        <v>606</v>
      </c>
      <c r="E4" t="s">
        <v>607</v>
      </c>
      <c r="F4">
        <v>60</v>
      </c>
      <c r="G4">
        <v>30</v>
      </c>
      <c r="H4" t="str">
        <f t="shared" si="0"/>
        <v>Kontrola</v>
      </c>
    </row>
    <row r="5" spans="1:8" x14ac:dyDescent="0.3">
      <c r="A5">
        <v>4</v>
      </c>
      <c r="B5">
        <v>4</v>
      </c>
      <c r="C5" t="s">
        <v>423</v>
      </c>
      <c r="D5" t="s">
        <v>608</v>
      </c>
      <c r="E5" t="s">
        <v>609</v>
      </c>
      <c r="F5">
        <v>90</v>
      </c>
      <c r="G5">
        <v>90</v>
      </c>
      <c r="H5" t="str">
        <f t="shared" si="0"/>
        <v>Ortopedia</v>
      </c>
    </row>
    <row r="6" spans="1:8" x14ac:dyDescent="0.3">
      <c r="A6">
        <v>5</v>
      </c>
      <c r="B6">
        <v>5</v>
      </c>
      <c r="C6" t="s">
        <v>425</v>
      </c>
      <c r="D6" t="s">
        <v>610</v>
      </c>
      <c r="F6">
        <v>120</v>
      </c>
      <c r="G6">
        <v>150</v>
      </c>
      <c r="H6" t="str">
        <f t="shared" si="0"/>
        <v>Chirurgia</v>
      </c>
    </row>
    <row r="7" spans="1:8" x14ac:dyDescent="0.3">
      <c r="A7">
        <v>6</v>
      </c>
      <c r="B7">
        <v>7</v>
      </c>
      <c r="C7" t="s">
        <v>429</v>
      </c>
      <c r="D7" t="s">
        <v>611</v>
      </c>
      <c r="E7" t="s">
        <v>612</v>
      </c>
      <c r="F7">
        <v>60</v>
      </c>
      <c r="G7">
        <v>15</v>
      </c>
      <c r="H7" t="str">
        <f t="shared" si="0"/>
        <v>Diagnostyka</v>
      </c>
    </row>
    <row r="8" spans="1:8" x14ac:dyDescent="0.3">
      <c r="A8">
        <v>7</v>
      </c>
      <c r="B8">
        <v>9</v>
      </c>
      <c r="C8" t="s">
        <v>423</v>
      </c>
      <c r="D8" t="s">
        <v>613</v>
      </c>
      <c r="E8" t="s">
        <v>614</v>
      </c>
      <c r="F8">
        <v>100</v>
      </c>
      <c r="G8">
        <v>110</v>
      </c>
      <c r="H8" t="str">
        <f t="shared" si="0"/>
        <v>Ortopedia</v>
      </c>
    </row>
    <row r="9" spans="1:8" x14ac:dyDescent="0.3">
      <c r="A9">
        <v>8</v>
      </c>
      <c r="B9">
        <v>10</v>
      </c>
      <c r="C9" t="s">
        <v>427</v>
      </c>
      <c r="D9" t="s">
        <v>615</v>
      </c>
      <c r="E9" t="s">
        <v>616</v>
      </c>
      <c r="F9">
        <v>30</v>
      </c>
      <c r="G9">
        <v>60</v>
      </c>
      <c r="H9" t="str">
        <f t="shared" si="0"/>
        <v>Badanie ogólne</v>
      </c>
    </row>
    <row r="10" spans="1:8" x14ac:dyDescent="0.3">
      <c r="A10">
        <v>9</v>
      </c>
      <c r="B10">
        <v>11</v>
      </c>
      <c r="C10" t="s">
        <v>427</v>
      </c>
      <c r="D10" t="s">
        <v>617</v>
      </c>
      <c r="E10" t="s">
        <v>618</v>
      </c>
      <c r="F10">
        <v>25</v>
      </c>
      <c r="G10">
        <v>50</v>
      </c>
      <c r="H10" t="str">
        <f t="shared" si="0"/>
        <v>Badanie ogólne</v>
      </c>
    </row>
    <row r="11" spans="1:8" x14ac:dyDescent="0.3">
      <c r="A11">
        <v>10</v>
      </c>
      <c r="B11">
        <v>12</v>
      </c>
      <c r="C11" t="s">
        <v>417</v>
      </c>
      <c r="D11" t="s">
        <v>619</v>
      </c>
      <c r="E11" t="s">
        <v>620</v>
      </c>
      <c r="F11">
        <v>20</v>
      </c>
      <c r="G11">
        <v>70</v>
      </c>
      <c r="H11" t="str">
        <f t="shared" si="0"/>
        <v>Szczepienie</v>
      </c>
    </row>
    <row r="12" spans="1:8" x14ac:dyDescent="0.3">
      <c r="A12">
        <v>11</v>
      </c>
      <c r="B12">
        <v>13</v>
      </c>
      <c r="C12" t="s">
        <v>621</v>
      </c>
      <c r="D12" t="s">
        <v>622</v>
      </c>
      <c r="E12" t="s">
        <v>623</v>
      </c>
      <c r="F12">
        <v>35</v>
      </c>
      <c r="G12">
        <v>80</v>
      </c>
      <c r="H12" t="str">
        <f t="shared" si="0"/>
        <v>Kontrola</v>
      </c>
    </row>
    <row r="13" spans="1:8" x14ac:dyDescent="0.3">
      <c r="A13">
        <v>12</v>
      </c>
      <c r="B13">
        <v>14</v>
      </c>
      <c r="C13" t="s">
        <v>481</v>
      </c>
      <c r="D13" t="s">
        <v>624</v>
      </c>
      <c r="E13" t="s">
        <v>625</v>
      </c>
      <c r="F13">
        <v>40</v>
      </c>
      <c r="G13">
        <v>90</v>
      </c>
      <c r="H13" t="str">
        <f t="shared" si="0"/>
        <v>Ortopedia</v>
      </c>
    </row>
    <row r="14" spans="1:8" x14ac:dyDescent="0.3">
      <c r="A14">
        <v>13</v>
      </c>
      <c r="B14">
        <v>15</v>
      </c>
      <c r="C14" t="s">
        <v>626</v>
      </c>
      <c r="D14" t="s">
        <v>627</v>
      </c>
      <c r="E14" t="s">
        <v>628</v>
      </c>
      <c r="F14">
        <v>35</v>
      </c>
      <c r="G14">
        <v>85</v>
      </c>
      <c r="H14" t="str">
        <f t="shared" si="0"/>
        <v>Ortopedia</v>
      </c>
    </row>
    <row r="15" spans="1:8" x14ac:dyDescent="0.3">
      <c r="A15">
        <v>14</v>
      </c>
      <c r="B15">
        <v>16</v>
      </c>
      <c r="C15" t="s">
        <v>629</v>
      </c>
      <c r="D15" t="s">
        <v>630</v>
      </c>
      <c r="E15" t="s">
        <v>631</v>
      </c>
      <c r="F15">
        <v>30</v>
      </c>
      <c r="G15">
        <v>75</v>
      </c>
      <c r="H15" t="str">
        <f t="shared" si="0"/>
        <v>Chirurgia</v>
      </c>
    </row>
    <row r="16" spans="1:8" x14ac:dyDescent="0.3">
      <c r="A16">
        <v>15</v>
      </c>
      <c r="B16">
        <v>17</v>
      </c>
      <c r="C16" t="s">
        <v>417</v>
      </c>
      <c r="D16" t="s">
        <v>632</v>
      </c>
      <c r="E16" t="s">
        <v>633</v>
      </c>
      <c r="F16">
        <v>30</v>
      </c>
      <c r="G16">
        <v>55</v>
      </c>
      <c r="H16" t="str">
        <f t="shared" si="0"/>
        <v>Szczepienie</v>
      </c>
    </row>
    <row r="17" spans="1:8" x14ac:dyDescent="0.3">
      <c r="A17">
        <v>16</v>
      </c>
      <c r="B17">
        <v>18</v>
      </c>
      <c r="C17" t="s">
        <v>394</v>
      </c>
      <c r="D17" t="s">
        <v>634</v>
      </c>
      <c r="E17" t="s">
        <v>635</v>
      </c>
      <c r="F17">
        <v>45</v>
      </c>
      <c r="G17">
        <v>80</v>
      </c>
      <c r="H17" t="str">
        <f t="shared" si="0"/>
        <v>Dermatologia</v>
      </c>
    </row>
    <row r="18" spans="1:8" x14ac:dyDescent="0.3">
      <c r="A18">
        <v>17</v>
      </c>
      <c r="B18">
        <v>19</v>
      </c>
      <c r="C18" t="s">
        <v>398</v>
      </c>
      <c r="D18" t="s">
        <v>636</v>
      </c>
      <c r="E18" t="s">
        <v>637</v>
      </c>
      <c r="F18">
        <v>60</v>
      </c>
      <c r="G18">
        <v>120</v>
      </c>
      <c r="H18" t="str">
        <f t="shared" si="0"/>
        <v>Ortopedia</v>
      </c>
    </row>
    <row r="19" spans="1:8" x14ac:dyDescent="0.3">
      <c r="A19">
        <v>18</v>
      </c>
      <c r="B19">
        <v>20</v>
      </c>
      <c r="C19" t="s">
        <v>389</v>
      </c>
      <c r="D19" t="s">
        <v>638</v>
      </c>
      <c r="E19" t="s">
        <v>639</v>
      </c>
      <c r="F19">
        <v>90</v>
      </c>
      <c r="G19">
        <v>350</v>
      </c>
      <c r="H19" t="str">
        <f t="shared" si="0"/>
        <v>Chirurgia</v>
      </c>
    </row>
    <row r="20" spans="1:8" x14ac:dyDescent="0.3">
      <c r="A20">
        <v>19</v>
      </c>
      <c r="B20">
        <v>21</v>
      </c>
      <c r="C20" t="s">
        <v>427</v>
      </c>
      <c r="D20" t="s">
        <v>640</v>
      </c>
      <c r="E20" t="s">
        <v>641</v>
      </c>
      <c r="F20">
        <v>30</v>
      </c>
      <c r="G20">
        <v>60</v>
      </c>
      <c r="H20" t="str">
        <f t="shared" si="0"/>
        <v>Badanie ogólne</v>
      </c>
    </row>
    <row r="21" spans="1:8" x14ac:dyDescent="0.3">
      <c r="A21">
        <v>20</v>
      </c>
      <c r="B21">
        <v>22</v>
      </c>
      <c r="C21" t="s">
        <v>417</v>
      </c>
      <c r="D21" t="s">
        <v>642</v>
      </c>
      <c r="E21" t="s">
        <v>643</v>
      </c>
      <c r="F21">
        <v>25</v>
      </c>
      <c r="G21">
        <v>50</v>
      </c>
      <c r="H21" t="str">
        <f t="shared" si="0"/>
        <v>Szczepienie</v>
      </c>
    </row>
    <row r="22" spans="1:8" x14ac:dyDescent="0.3">
      <c r="A22">
        <v>21</v>
      </c>
      <c r="B22">
        <v>23</v>
      </c>
      <c r="C22" t="s">
        <v>394</v>
      </c>
      <c r="D22" t="s">
        <v>644</v>
      </c>
      <c r="E22" t="s">
        <v>645</v>
      </c>
      <c r="F22">
        <v>50</v>
      </c>
      <c r="G22">
        <v>90</v>
      </c>
      <c r="H22" t="str">
        <f t="shared" si="0"/>
        <v>Dermatologia</v>
      </c>
    </row>
    <row r="23" spans="1:8" x14ac:dyDescent="0.3">
      <c r="A23">
        <v>22</v>
      </c>
      <c r="B23">
        <v>24</v>
      </c>
      <c r="C23" t="s">
        <v>398</v>
      </c>
      <c r="D23" t="s">
        <v>646</v>
      </c>
      <c r="E23" t="s">
        <v>647</v>
      </c>
      <c r="F23">
        <v>75</v>
      </c>
      <c r="G23">
        <v>150</v>
      </c>
      <c r="H23" t="str">
        <f t="shared" si="0"/>
        <v>Ortopedia</v>
      </c>
    </row>
    <row r="24" spans="1:8" x14ac:dyDescent="0.3">
      <c r="A24">
        <v>23</v>
      </c>
      <c r="B24">
        <v>25</v>
      </c>
      <c r="C24" t="s">
        <v>409</v>
      </c>
      <c r="D24" t="s">
        <v>648</v>
      </c>
      <c r="E24" t="s">
        <v>649</v>
      </c>
      <c r="F24">
        <v>40</v>
      </c>
      <c r="G24">
        <v>110</v>
      </c>
      <c r="H24" t="str">
        <f t="shared" si="0"/>
        <v>Kardiologia</v>
      </c>
    </row>
    <row r="25" spans="1:8" x14ac:dyDescent="0.3">
      <c r="A25">
        <v>24</v>
      </c>
      <c r="B25">
        <v>26</v>
      </c>
      <c r="C25" t="s">
        <v>389</v>
      </c>
      <c r="D25" t="s">
        <v>650</v>
      </c>
      <c r="E25" t="s">
        <v>651</v>
      </c>
      <c r="F25">
        <v>95</v>
      </c>
      <c r="G25">
        <v>400</v>
      </c>
      <c r="H25" t="str">
        <f t="shared" si="0"/>
        <v>Chirurgia</v>
      </c>
    </row>
    <row r="26" spans="1:8" x14ac:dyDescent="0.3">
      <c r="A26">
        <v>25</v>
      </c>
      <c r="B26">
        <v>27</v>
      </c>
      <c r="C26" t="s">
        <v>429</v>
      </c>
      <c r="D26" t="s">
        <v>652</v>
      </c>
      <c r="E26" t="s">
        <v>653</v>
      </c>
      <c r="F26">
        <v>60</v>
      </c>
      <c r="G26">
        <v>180</v>
      </c>
      <c r="H26" t="str">
        <f t="shared" si="0"/>
        <v>Diagnostyka</v>
      </c>
    </row>
    <row r="27" spans="1:8" x14ac:dyDescent="0.3">
      <c r="A27">
        <v>26</v>
      </c>
      <c r="B27">
        <v>28</v>
      </c>
      <c r="C27" t="s">
        <v>422</v>
      </c>
      <c r="D27" t="s">
        <v>654</v>
      </c>
      <c r="E27" t="s">
        <v>655</v>
      </c>
      <c r="F27">
        <v>30</v>
      </c>
      <c r="G27">
        <v>40</v>
      </c>
      <c r="H27" t="str">
        <f t="shared" si="0"/>
        <v>Kontrola</v>
      </c>
    </row>
    <row r="28" spans="1:8" x14ac:dyDescent="0.3">
      <c r="A28">
        <v>27</v>
      </c>
      <c r="B28">
        <v>29</v>
      </c>
      <c r="C28" t="s">
        <v>453</v>
      </c>
      <c r="D28" t="s">
        <v>656</v>
      </c>
      <c r="E28" t="s">
        <v>657</v>
      </c>
      <c r="F28">
        <v>15</v>
      </c>
      <c r="G28">
        <v>35</v>
      </c>
      <c r="H28" t="str">
        <f t="shared" si="0"/>
        <v>Odrobaczanie</v>
      </c>
    </row>
    <row r="29" spans="1:8" x14ac:dyDescent="0.3">
      <c r="A29">
        <v>28</v>
      </c>
      <c r="B29">
        <v>30</v>
      </c>
      <c r="C29" t="s">
        <v>427</v>
      </c>
      <c r="D29" t="s">
        <v>658</v>
      </c>
      <c r="E29" t="s">
        <v>659</v>
      </c>
      <c r="F29">
        <v>30</v>
      </c>
      <c r="G29">
        <v>60</v>
      </c>
      <c r="H29" t="str">
        <f t="shared" si="0"/>
        <v>Badanie ogólne</v>
      </c>
    </row>
    <row r="30" spans="1:8" x14ac:dyDescent="0.3">
      <c r="A30">
        <v>29</v>
      </c>
      <c r="B30">
        <v>31</v>
      </c>
      <c r="C30" t="s">
        <v>409</v>
      </c>
      <c r="D30" t="s">
        <v>660</v>
      </c>
      <c r="E30" t="s">
        <v>661</v>
      </c>
      <c r="F30">
        <v>45</v>
      </c>
      <c r="G30">
        <v>130</v>
      </c>
      <c r="H30" t="str">
        <f t="shared" si="0"/>
        <v>Kardiologia</v>
      </c>
    </row>
    <row r="31" spans="1:8" x14ac:dyDescent="0.3">
      <c r="A31">
        <v>30</v>
      </c>
      <c r="B31">
        <v>32</v>
      </c>
      <c r="C31" t="s">
        <v>394</v>
      </c>
      <c r="D31" t="s">
        <v>662</v>
      </c>
      <c r="E31" t="s">
        <v>663</v>
      </c>
      <c r="F31">
        <v>50</v>
      </c>
      <c r="G31">
        <v>100</v>
      </c>
      <c r="H31" t="str">
        <f t="shared" si="0"/>
        <v>Dermatologia</v>
      </c>
    </row>
    <row r="32" spans="1:8" x14ac:dyDescent="0.3">
      <c r="A32">
        <v>31</v>
      </c>
      <c r="B32">
        <v>33</v>
      </c>
      <c r="C32" t="s">
        <v>389</v>
      </c>
      <c r="D32" t="s">
        <v>664</v>
      </c>
      <c r="E32" t="s">
        <v>665</v>
      </c>
      <c r="F32">
        <v>85</v>
      </c>
      <c r="G32">
        <v>350</v>
      </c>
      <c r="H32" t="str">
        <f t="shared" si="0"/>
        <v>Chirurgia</v>
      </c>
    </row>
    <row r="33" spans="1:8" x14ac:dyDescent="0.3">
      <c r="A33">
        <v>32</v>
      </c>
      <c r="B33">
        <v>34</v>
      </c>
      <c r="C33" t="s">
        <v>422</v>
      </c>
      <c r="D33" t="s">
        <v>666</v>
      </c>
      <c r="E33" t="s">
        <v>667</v>
      </c>
      <c r="F33">
        <v>20</v>
      </c>
      <c r="G33">
        <v>40</v>
      </c>
      <c r="H33" t="str">
        <f t="shared" si="0"/>
        <v>Kontrola</v>
      </c>
    </row>
    <row r="34" spans="1:8" x14ac:dyDescent="0.3">
      <c r="A34">
        <v>33</v>
      </c>
      <c r="B34">
        <v>35</v>
      </c>
      <c r="C34" t="s">
        <v>389</v>
      </c>
      <c r="D34" t="s">
        <v>668</v>
      </c>
      <c r="E34" t="s">
        <v>669</v>
      </c>
      <c r="F34">
        <v>35</v>
      </c>
      <c r="G34">
        <v>70</v>
      </c>
      <c r="H34" t="str">
        <f t="shared" ref="H34:H65" si="1" xml:space="preserve"> IF(ISNUMBER(FIND("szczep",C34)),"Szczepienie",
IF(ISNUMBER(FIND("kardio",C34)),"Kardiologia",
IF(ISNUMBER(FIND("ortoped",C34)),"Ortopedia",
IF(ISNUMBER(FIND("uraz",C34)),"Ortopedia",
IF(ISNUMBER(FIND("dermat",C34)),"Dermatologia",
IF(ISNUMBER(FIND("chirurg",C34)),"Chirurgia",
IF(ISNUMBER(FIND("operac",C34)),"Chirurgia",
IF(ISNUMBER(FIND("diagnost",C34)),"Diagnostyka",
IF(ISNUMBER(FIND("odrobacz",C34)),"Odrobaczanie",
IF(ISNUMBER(FIND("kontrola",C34)),"Kontrola",
IF(ISNUMBER(FIND("alergia",C34)),"Dermatologia",
IF(ISNUMBER(FIND("dieta",C34)),"Dieta",
"Badanie ogólne"))))))))))))</f>
        <v>Chirurgia</v>
      </c>
    </row>
    <row r="35" spans="1:8" x14ac:dyDescent="0.3">
      <c r="A35">
        <v>34</v>
      </c>
      <c r="B35">
        <v>36</v>
      </c>
      <c r="C35" t="s">
        <v>417</v>
      </c>
      <c r="D35" t="s">
        <v>670</v>
      </c>
      <c r="E35" t="s">
        <v>671</v>
      </c>
      <c r="F35">
        <v>25</v>
      </c>
      <c r="G35">
        <v>55</v>
      </c>
      <c r="H35" t="str">
        <f t="shared" si="1"/>
        <v>Szczepienie</v>
      </c>
    </row>
    <row r="36" spans="1:8" x14ac:dyDescent="0.3">
      <c r="A36">
        <v>35</v>
      </c>
      <c r="B36">
        <v>37</v>
      </c>
      <c r="C36" t="s">
        <v>409</v>
      </c>
      <c r="D36" t="s">
        <v>672</v>
      </c>
      <c r="E36" t="s">
        <v>673</v>
      </c>
      <c r="F36">
        <v>60</v>
      </c>
      <c r="G36">
        <v>220</v>
      </c>
      <c r="H36" t="str">
        <f t="shared" si="1"/>
        <v>Kardiologia</v>
      </c>
    </row>
    <row r="37" spans="1:8" x14ac:dyDescent="0.3">
      <c r="A37">
        <v>36</v>
      </c>
      <c r="B37">
        <v>38</v>
      </c>
      <c r="C37" t="s">
        <v>394</v>
      </c>
      <c r="D37" t="s">
        <v>674</v>
      </c>
      <c r="E37" t="s">
        <v>675</v>
      </c>
      <c r="F37">
        <v>35</v>
      </c>
      <c r="G37">
        <v>70</v>
      </c>
      <c r="H37" t="str">
        <f t="shared" si="1"/>
        <v>Dermatologia</v>
      </c>
    </row>
    <row r="38" spans="1:8" x14ac:dyDescent="0.3">
      <c r="A38">
        <v>37</v>
      </c>
      <c r="B38">
        <v>39</v>
      </c>
      <c r="C38" t="s">
        <v>427</v>
      </c>
      <c r="D38" t="s">
        <v>676</v>
      </c>
      <c r="E38" t="s">
        <v>677</v>
      </c>
      <c r="F38">
        <v>30</v>
      </c>
      <c r="G38">
        <v>60</v>
      </c>
      <c r="H38" t="str">
        <f t="shared" si="1"/>
        <v>Badanie ogólne</v>
      </c>
    </row>
    <row r="39" spans="1:8" x14ac:dyDescent="0.3">
      <c r="A39">
        <v>38</v>
      </c>
      <c r="B39">
        <v>40</v>
      </c>
      <c r="C39" t="s">
        <v>398</v>
      </c>
      <c r="D39" t="s">
        <v>678</v>
      </c>
      <c r="E39" t="s">
        <v>679</v>
      </c>
      <c r="F39">
        <v>45</v>
      </c>
      <c r="G39">
        <v>90</v>
      </c>
      <c r="H39" t="str">
        <f t="shared" si="1"/>
        <v>Ortopedia</v>
      </c>
    </row>
    <row r="40" spans="1:8" x14ac:dyDescent="0.3">
      <c r="A40">
        <v>39</v>
      </c>
      <c r="B40">
        <v>41</v>
      </c>
      <c r="C40" t="s">
        <v>429</v>
      </c>
      <c r="D40" t="s">
        <v>680</v>
      </c>
      <c r="E40" t="s">
        <v>681</v>
      </c>
      <c r="F40">
        <v>30</v>
      </c>
      <c r="G40">
        <v>85</v>
      </c>
      <c r="H40" t="str">
        <f t="shared" si="1"/>
        <v>Diagnostyka</v>
      </c>
    </row>
    <row r="41" spans="1:8" x14ac:dyDescent="0.3">
      <c r="A41">
        <v>40</v>
      </c>
      <c r="B41">
        <v>42</v>
      </c>
      <c r="C41" t="s">
        <v>453</v>
      </c>
      <c r="D41" t="s">
        <v>682</v>
      </c>
      <c r="E41" t="s">
        <v>683</v>
      </c>
      <c r="F41">
        <v>15</v>
      </c>
      <c r="G41">
        <v>35</v>
      </c>
      <c r="H41" t="str">
        <f t="shared" si="1"/>
        <v>Odrobaczanie</v>
      </c>
    </row>
    <row r="42" spans="1:8" x14ac:dyDescent="0.3">
      <c r="A42">
        <v>41</v>
      </c>
      <c r="B42">
        <v>43</v>
      </c>
      <c r="C42" t="s">
        <v>409</v>
      </c>
      <c r="D42" t="s">
        <v>684</v>
      </c>
      <c r="E42" t="s">
        <v>685</v>
      </c>
      <c r="F42">
        <v>50</v>
      </c>
      <c r="G42">
        <v>250</v>
      </c>
      <c r="H42" t="str">
        <f t="shared" si="1"/>
        <v>Kardiologia</v>
      </c>
    </row>
    <row r="43" spans="1:8" x14ac:dyDescent="0.3">
      <c r="A43">
        <v>42</v>
      </c>
      <c r="B43">
        <v>44</v>
      </c>
      <c r="C43" t="s">
        <v>394</v>
      </c>
      <c r="D43" t="s">
        <v>686</v>
      </c>
      <c r="E43" t="s">
        <v>687</v>
      </c>
      <c r="F43">
        <v>40</v>
      </c>
      <c r="G43">
        <v>80</v>
      </c>
      <c r="H43" t="str">
        <f t="shared" si="1"/>
        <v>Dermatologia</v>
      </c>
    </row>
    <row r="44" spans="1:8" x14ac:dyDescent="0.3">
      <c r="A44">
        <v>43</v>
      </c>
      <c r="B44">
        <v>45</v>
      </c>
      <c r="C44" t="s">
        <v>389</v>
      </c>
      <c r="D44" t="s">
        <v>688</v>
      </c>
      <c r="E44" t="s">
        <v>689</v>
      </c>
      <c r="F44">
        <v>150</v>
      </c>
      <c r="G44">
        <v>900</v>
      </c>
      <c r="H44" t="str">
        <f t="shared" si="1"/>
        <v>Chirurgia</v>
      </c>
    </row>
    <row r="45" spans="1:8" x14ac:dyDescent="0.3">
      <c r="A45">
        <v>44</v>
      </c>
      <c r="B45">
        <v>46</v>
      </c>
      <c r="C45" t="s">
        <v>398</v>
      </c>
      <c r="D45" t="s">
        <v>690</v>
      </c>
      <c r="E45" t="s">
        <v>691</v>
      </c>
      <c r="F45">
        <v>80</v>
      </c>
      <c r="G45">
        <v>160</v>
      </c>
      <c r="H45" t="str">
        <f t="shared" si="1"/>
        <v>Ortopedia</v>
      </c>
    </row>
    <row r="46" spans="1:8" x14ac:dyDescent="0.3">
      <c r="A46">
        <v>45</v>
      </c>
      <c r="B46">
        <v>47</v>
      </c>
      <c r="C46" t="s">
        <v>417</v>
      </c>
      <c r="D46" t="s">
        <v>692</v>
      </c>
      <c r="E46" t="s">
        <v>693</v>
      </c>
      <c r="F46">
        <v>25</v>
      </c>
      <c r="G46">
        <v>70</v>
      </c>
      <c r="H46" t="str">
        <f t="shared" si="1"/>
        <v>Szczepienie</v>
      </c>
    </row>
    <row r="47" spans="1:8" x14ac:dyDescent="0.3">
      <c r="A47">
        <v>46</v>
      </c>
      <c r="B47">
        <v>48</v>
      </c>
      <c r="C47" t="s">
        <v>427</v>
      </c>
      <c r="D47" t="s">
        <v>694</v>
      </c>
      <c r="E47" t="s">
        <v>695</v>
      </c>
      <c r="F47">
        <v>35</v>
      </c>
      <c r="G47">
        <v>65</v>
      </c>
      <c r="H47" t="str">
        <f t="shared" si="1"/>
        <v>Badanie ogólne</v>
      </c>
    </row>
    <row r="48" spans="1:8" x14ac:dyDescent="0.3">
      <c r="A48">
        <v>47</v>
      </c>
      <c r="B48">
        <v>49</v>
      </c>
      <c r="C48" t="s">
        <v>409</v>
      </c>
      <c r="D48" t="s">
        <v>696</v>
      </c>
      <c r="E48" t="s">
        <v>697</v>
      </c>
      <c r="F48">
        <v>50</v>
      </c>
      <c r="G48">
        <v>200</v>
      </c>
      <c r="H48" t="str">
        <f t="shared" si="1"/>
        <v>Kardiologia</v>
      </c>
    </row>
    <row r="49" spans="1:8" x14ac:dyDescent="0.3">
      <c r="A49">
        <v>48</v>
      </c>
      <c r="B49">
        <v>50</v>
      </c>
      <c r="C49" t="s">
        <v>394</v>
      </c>
      <c r="D49" t="s">
        <v>698</v>
      </c>
      <c r="E49" t="s">
        <v>699</v>
      </c>
      <c r="F49">
        <v>60</v>
      </c>
      <c r="G49">
        <v>150</v>
      </c>
      <c r="H49" t="str">
        <f t="shared" si="1"/>
        <v>Dermatologia</v>
      </c>
    </row>
    <row r="50" spans="1:8" x14ac:dyDescent="0.3">
      <c r="A50">
        <v>49</v>
      </c>
      <c r="B50">
        <v>51</v>
      </c>
      <c r="C50" t="s">
        <v>389</v>
      </c>
      <c r="D50" t="s">
        <v>700</v>
      </c>
      <c r="E50" t="s">
        <v>701</v>
      </c>
      <c r="F50">
        <v>60</v>
      </c>
      <c r="G50">
        <v>300</v>
      </c>
      <c r="H50" t="str">
        <f t="shared" si="1"/>
        <v>Chirurgia</v>
      </c>
    </row>
    <row r="51" spans="1:8" x14ac:dyDescent="0.3">
      <c r="A51">
        <v>50</v>
      </c>
      <c r="B51">
        <v>52</v>
      </c>
      <c r="C51" t="s">
        <v>398</v>
      </c>
      <c r="D51" t="s">
        <v>702</v>
      </c>
      <c r="E51" t="s">
        <v>703</v>
      </c>
      <c r="F51">
        <v>40</v>
      </c>
      <c r="G51">
        <v>90</v>
      </c>
      <c r="H51" t="str">
        <f t="shared" si="1"/>
        <v>Ortopedia</v>
      </c>
    </row>
    <row r="52" spans="1:8" x14ac:dyDescent="0.3">
      <c r="A52">
        <v>51</v>
      </c>
      <c r="B52">
        <v>53</v>
      </c>
      <c r="C52" t="s">
        <v>409</v>
      </c>
      <c r="D52" t="s">
        <v>704</v>
      </c>
      <c r="E52" t="s">
        <v>705</v>
      </c>
      <c r="F52">
        <v>35</v>
      </c>
      <c r="G52">
        <v>110</v>
      </c>
      <c r="H52" t="str">
        <f t="shared" si="1"/>
        <v>Kardiologia</v>
      </c>
    </row>
    <row r="53" spans="1:8" x14ac:dyDescent="0.3">
      <c r="A53">
        <v>52</v>
      </c>
      <c r="B53">
        <v>54</v>
      </c>
      <c r="C53" t="s">
        <v>417</v>
      </c>
      <c r="D53" t="s">
        <v>706</v>
      </c>
      <c r="E53" t="s">
        <v>707</v>
      </c>
      <c r="F53">
        <v>25</v>
      </c>
      <c r="G53">
        <v>70</v>
      </c>
      <c r="H53" t="str">
        <f t="shared" si="1"/>
        <v>Szczepienie</v>
      </c>
    </row>
    <row r="54" spans="1:8" x14ac:dyDescent="0.3">
      <c r="A54">
        <v>53</v>
      </c>
      <c r="B54">
        <v>55</v>
      </c>
      <c r="C54" t="s">
        <v>394</v>
      </c>
      <c r="D54" t="s">
        <v>708</v>
      </c>
      <c r="E54" t="s">
        <v>709</v>
      </c>
      <c r="F54">
        <v>45</v>
      </c>
      <c r="G54">
        <v>100</v>
      </c>
      <c r="H54" t="str">
        <f t="shared" si="1"/>
        <v>Dermatologia</v>
      </c>
    </row>
    <row r="55" spans="1:8" x14ac:dyDescent="0.3">
      <c r="A55">
        <v>54</v>
      </c>
      <c r="B55">
        <v>56</v>
      </c>
      <c r="C55" t="s">
        <v>398</v>
      </c>
      <c r="D55" t="s">
        <v>710</v>
      </c>
      <c r="E55" t="s">
        <v>711</v>
      </c>
      <c r="F55">
        <v>35</v>
      </c>
      <c r="G55">
        <v>80</v>
      </c>
      <c r="H55" t="str">
        <f t="shared" si="1"/>
        <v>Ortopedia</v>
      </c>
    </row>
    <row r="56" spans="1:8" x14ac:dyDescent="0.3">
      <c r="A56">
        <v>55</v>
      </c>
      <c r="B56">
        <v>57</v>
      </c>
      <c r="C56" t="s">
        <v>427</v>
      </c>
      <c r="D56" t="s">
        <v>712</v>
      </c>
      <c r="E56" t="s">
        <v>713</v>
      </c>
      <c r="F56">
        <v>30</v>
      </c>
      <c r="G56">
        <v>60</v>
      </c>
      <c r="H56" t="str">
        <f t="shared" si="1"/>
        <v>Badanie ogólne</v>
      </c>
    </row>
    <row r="57" spans="1:8" x14ac:dyDescent="0.3">
      <c r="A57">
        <v>56</v>
      </c>
      <c r="B57">
        <v>58</v>
      </c>
      <c r="C57" t="s">
        <v>429</v>
      </c>
      <c r="D57" t="s">
        <v>714</v>
      </c>
      <c r="E57" t="s">
        <v>715</v>
      </c>
      <c r="F57">
        <v>40</v>
      </c>
      <c r="G57">
        <v>130</v>
      </c>
      <c r="H57" t="str">
        <f t="shared" si="1"/>
        <v>Diagnostyka</v>
      </c>
    </row>
    <row r="58" spans="1:8" x14ac:dyDescent="0.3">
      <c r="A58">
        <v>57</v>
      </c>
      <c r="B58">
        <v>59</v>
      </c>
      <c r="C58" t="s">
        <v>453</v>
      </c>
      <c r="D58" t="s">
        <v>716</v>
      </c>
      <c r="E58" t="s">
        <v>717</v>
      </c>
      <c r="F58">
        <v>15</v>
      </c>
      <c r="G58">
        <v>35</v>
      </c>
      <c r="H58" t="str">
        <f t="shared" si="1"/>
        <v>Odrobaczanie</v>
      </c>
    </row>
    <row r="59" spans="1:8" x14ac:dyDescent="0.3">
      <c r="A59">
        <v>58</v>
      </c>
      <c r="B59">
        <v>60</v>
      </c>
      <c r="C59" t="s">
        <v>389</v>
      </c>
      <c r="D59" t="s">
        <v>718</v>
      </c>
      <c r="E59" t="s">
        <v>719</v>
      </c>
      <c r="F59">
        <v>40</v>
      </c>
      <c r="G59">
        <v>200</v>
      </c>
      <c r="H59" t="str">
        <f t="shared" si="1"/>
        <v>Chirurgia</v>
      </c>
    </row>
    <row r="60" spans="1:8" x14ac:dyDescent="0.3">
      <c r="A60">
        <v>59</v>
      </c>
      <c r="B60">
        <v>61</v>
      </c>
      <c r="C60" t="s">
        <v>394</v>
      </c>
      <c r="D60" t="s">
        <v>720</v>
      </c>
      <c r="E60" t="s">
        <v>721</v>
      </c>
      <c r="F60">
        <v>40</v>
      </c>
      <c r="G60">
        <v>85</v>
      </c>
      <c r="H60" t="str">
        <f t="shared" si="1"/>
        <v>Dermatologia</v>
      </c>
    </row>
    <row r="61" spans="1:8" x14ac:dyDescent="0.3">
      <c r="A61">
        <v>60</v>
      </c>
      <c r="B61">
        <v>62</v>
      </c>
      <c r="C61" t="s">
        <v>398</v>
      </c>
      <c r="D61" t="s">
        <v>722</v>
      </c>
      <c r="E61" t="s">
        <v>723</v>
      </c>
      <c r="F61">
        <v>90</v>
      </c>
      <c r="G61">
        <v>300</v>
      </c>
      <c r="H61" t="str">
        <f t="shared" si="1"/>
        <v>Ortopedia</v>
      </c>
    </row>
    <row r="62" spans="1:8" x14ac:dyDescent="0.3">
      <c r="A62">
        <v>61</v>
      </c>
      <c r="B62">
        <v>63</v>
      </c>
      <c r="C62" t="s">
        <v>409</v>
      </c>
      <c r="D62" t="s">
        <v>724</v>
      </c>
      <c r="E62" t="s">
        <v>725</v>
      </c>
      <c r="F62">
        <v>35</v>
      </c>
      <c r="G62">
        <v>110</v>
      </c>
      <c r="H62" t="str">
        <f t="shared" si="1"/>
        <v>Kardiologia</v>
      </c>
    </row>
    <row r="63" spans="1:8" x14ac:dyDescent="0.3">
      <c r="A63">
        <v>62</v>
      </c>
      <c r="B63">
        <v>64</v>
      </c>
      <c r="C63" t="s">
        <v>429</v>
      </c>
      <c r="D63" t="s">
        <v>726</v>
      </c>
      <c r="E63" t="s">
        <v>727</v>
      </c>
      <c r="F63">
        <v>30</v>
      </c>
      <c r="G63">
        <v>90</v>
      </c>
      <c r="H63" t="str">
        <f t="shared" si="1"/>
        <v>Diagnostyka</v>
      </c>
    </row>
    <row r="64" spans="1:8" x14ac:dyDescent="0.3">
      <c r="A64">
        <v>63</v>
      </c>
      <c r="B64">
        <v>65</v>
      </c>
      <c r="C64" t="s">
        <v>389</v>
      </c>
      <c r="D64" t="s">
        <v>728</v>
      </c>
      <c r="E64" t="s">
        <v>729</v>
      </c>
      <c r="F64">
        <v>25</v>
      </c>
      <c r="G64">
        <v>40</v>
      </c>
      <c r="H64" t="str">
        <f t="shared" si="1"/>
        <v>Chirurgia</v>
      </c>
    </row>
    <row r="65" spans="1:8" x14ac:dyDescent="0.3">
      <c r="A65">
        <v>64</v>
      </c>
      <c r="B65">
        <v>69</v>
      </c>
      <c r="C65" t="s">
        <v>409</v>
      </c>
      <c r="D65" t="s">
        <v>730</v>
      </c>
      <c r="E65" t="s">
        <v>731</v>
      </c>
      <c r="F65">
        <v>40</v>
      </c>
      <c r="G65">
        <v>120</v>
      </c>
      <c r="H65" t="str">
        <f t="shared" si="1"/>
        <v>Kardiologia</v>
      </c>
    </row>
    <row r="66" spans="1:8" x14ac:dyDescent="0.3">
      <c r="A66">
        <v>65</v>
      </c>
      <c r="B66">
        <v>70</v>
      </c>
      <c r="C66" t="s">
        <v>429</v>
      </c>
      <c r="D66" t="s">
        <v>732</v>
      </c>
      <c r="E66" t="s">
        <v>733</v>
      </c>
      <c r="F66">
        <v>45</v>
      </c>
      <c r="G66">
        <v>180</v>
      </c>
      <c r="H66" t="str">
        <f t="shared" ref="H66:H97" si="2" xml:space="preserve"> IF(ISNUMBER(FIND("szczep",C66)),"Szczepienie",
IF(ISNUMBER(FIND("kardio",C66)),"Kardiologia",
IF(ISNUMBER(FIND("ortoped",C66)),"Ortopedia",
IF(ISNUMBER(FIND("uraz",C66)),"Ortopedia",
IF(ISNUMBER(FIND("dermat",C66)),"Dermatologia",
IF(ISNUMBER(FIND("chirurg",C66)),"Chirurgia",
IF(ISNUMBER(FIND("operac",C66)),"Chirurgia",
IF(ISNUMBER(FIND("diagnost",C66)),"Diagnostyka",
IF(ISNUMBER(FIND("odrobacz",C66)),"Odrobaczanie",
IF(ISNUMBER(FIND("kontrola",C66)),"Kontrola",
IF(ISNUMBER(FIND("alergia",C66)),"Dermatologia",
IF(ISNUMBER(FIND("dieta",C66)),"Dieta",
"Badanie ogólne"))))))))))))</f>
        <v>Diagnostyka</v>
      </c>
    </row>
    <row r="67" spans="1:8" x14ac:dyDescent="0.3">
      <c r="A67">
        <v>66</v>
      </c>
      <c r="B67">
        <v>71</v>
      </c>
      <c r="C67" t="s">
        <v>389</v>
      </c>
      <c r="D67" t="s">
        <v>734</v>
      </c>
      <c r="E67" t="s">
        <v>735</v>
      </c>
      <c r="F67">
        <v>180</v>
      </c>
      <c r="G67">
        <v>1200</v>
      </c>
      <c r="H67" t="str">
        <f t="shared" si="2"/>
        <v>Chirurgia</v>
      </c>
    </row>
    <row r="68" spans="1:8" x14ac:dyDescent="0.3">
      <c r="A68">
        <v>67</v>
      </c>
      <c r="B68">
        <v>72</v>
      </c>
      <c r="C68" t="s">
        <v>394</v>
      </c>
      <c r="D68" t="s">
        <v>736</v>
      </c>
      <c r="E68" t="s">
        <v>737</v>
      </c>
      <c r="F68">
        <v>30</v>
      </c>
      <c r="G68">
        <v>65</v>
      </c>
      <c r="H68" t="str">
        <f t="shared" si="2"/>
        <v>Dermatologia</v>
      </c>
    </row>
    <row r="69" spans="1:8" x14ac:dyDescent="0.3">
      <c r="A69">
        <v>68</v>
      </c>
      <c r="B69">
        <v>73</v>
      </c>
      <c r="C69" t="s">
        <v>417</v>
      </c>
      <c r="D69" t="s">
        <v>738</v>
      </c>
      <c r="E69" t="s">
        <v>739</v>
      </c>
      <c r="F69">
        <v>20</v>
      </c>
      <c r="G69">
        <v>60</v>
      </c>
      <c r="H69" t="str">
        <f t="shared" si="2"/>
        <v>Szczepienie</v>
      </c>
    </row>
    <row r="70" spans="1:8" x14ac:dyDescent="0.3">
      <c r="A70">
        <v>69</v>
      </c>
      <c r="B70">
        <v>76</v>
      </c>
      <c r="C70" t="s">
        <v>422</v>
      </c>
      <c r="D70" t="s">
        <v>666</v>
      </c>
      <c r="E70" t="s">
        <v>740</v>
      </c>
      <c r="F70">
        <v>20</v>
      </c>
      <c r="G70">
        <v>40</v>
      </c>
      <c r="H70" t="str">
        <f t="shared" si="2"/>
        <v>Kontrola</v>
      </c>
    </row>
    <row r="71" spans="1:8" x14ac:dyDescent="0.3">
      <c r="A71">
        <v>70</v>
      </c>
      <c r="B71">
        <v>77</v>
      </c>
      <c r="C71" t="s">
        <v>394</v>
      </c>
      <c r="D71" t="s">
        <v>741</v>
      </c>
      <c r="E71" t="s">
        <v>742</v>
      </c>
      <c r="F71">
        <v>25</v>
      </c>
      <c r="G71">
        <v>50</v>
      </c>
      <c r="H71" t="str">
        <f t="shared" si="2"/>
        <v>Dermatologia</v>
      </c>
    </row>
    <row r="72" spans="1:8" x14ac:dyDescent="0.3">
      <c r="A72">
        <v>71</v>
      </c>
      <c r="B72">
        <v>78</v>
      </c>
      <c r="C72" t="s">
        <v>409</v>
      </c>
      <c r="D72" t="s">
        <v>743</v>
      </c>
      <c r="E72" t="s">
        <v>744</v>
      </c>
      <c r="F72">
        <v>30</v>
      </c>
      <c r="G72">
        <v>100</v>
      </c>
      <c r="H72" t="str">
        <f t="shared" si="2"/>
        <v>Kardiologia</v>
      </c>
    </row>
    <row r="73" spans="1:8" x14ac:dyDescent="0.3">
      <c r="A73">
        <v>72</v>
      </c>
      <c r="B73">
        <v>79</v>
      </c>
      <c r="C73" t="s">
        <v>422</v>
      </c>
      <c r="D73" t="s">
        <v>745</v>
      </c>
      <c r="E73" t="s">
        <v>746</v>
      </c>
      <c r="F73">
        <v>20</v>
      </c>
      <c r="G73">
        <v>40</v>
      </c>
      <c r="H73" t="str">
        <f t="shared" si="2"/>
        <v>Kontrola</v>
      </c>
    </row>
    <row r="74" spans="1:8" x14ac:dyDescent="0.3">
      <c r="A74">
        <v>73</v>
      </c>
      <c r="B74">
        <v>80</v>
      </c>
      <c r="C74" t="s">
        <v>409</v>
      </c>
      <c r="D74" t="s">
        <v>747</v>
      </c>
      <c r="E74" t="s">
        <v>748</v>
      </c>
      <c r="F74">
        <v>35</v>
      </c>
      <c r="G74">
        <v>110</v>
      </c>
      <c r="H74" t="str">
        <f t="shared" si="2"/>
        <v>Kardiologia</v>
      </c>
    </row>
    <row r="75" spans="1:8" x14ac:dyDescent="0.3">
      <c r="A75">
        <v>74</v>
      </c>
      <c r="B75">
        <v>81</v>
      </c>
      <c r="C75" t="s">
        <v>427</v>
      </c>
      <c r="D75" t="s">
        <v>749</v>
      </c>
      <c r="E75" t="s">
        <v>677</v>
      </c>
      <c r="F75">
        <v>30</v>
      </c>
      <c r="G75">
        <v>60</v>
      </c>
      <c r="H75" t="str">
        <f t="shared" si="2"/>
        <v>Badanie ogólne</v>
      </c>
    </row>
    <row r="76" spans="1:8" x14ac:dyDescent="0.3">
      <c r="A76">
        <v>75</v>
      </c>
      <c r="B76">
        <v>82</v>
      </c>
      <c r="C76" t="s">
        <v>389</v>
      </c>
      <c r="D76" t="s">
        <v>750</v>
      </c>
      <c r="E76" t="s">
        <v>751</v>
      </c>
      <c r="F76">
        <v>25</v>
      </c>
      <c r="G76">
        <v>80</v>
      </c>
      <c r="H76" t="str">
        <f t="shared" si="2"/>
        <v>Chirurgia</v>
      </c>
    </row>
    <row r="77" spans="1:8" x14ac:dyDescent="0.3">
      <c r="A77">
        <v>76</v>
      </c>
      <c r="B77">
        <v>83</v>
      </c>
      <c r="C77" t="s">
        <v>398</v>
      </c>
      <c r="D77" t="s">
        <v>752</v>
      </c>
      <c r="E77" t="s">
        <v>753</v>
      </c>
      <c r="F77">
        <v>40</v>
      </c>
      <c r="G77">
        <v>100</v>
      </c>
      <c r="H77" t="str">
        <f t="shared" si="2"/>
        <v>Ortopedia</v>
      </c>
    </row>
    <row r="78" spans="1:8" x14ac:dyDescent="0.3">
      <c r="A78">
        <v>77</v>
      </c>
      <c r="B78">
        <v>84</v>
      </c>
      <c r="C78" t="s">
        <v>409</v>
      </c>
      <c r="D78" t="s">
        <v>754</v>
      </c>
      <c r="E78" t="s">
        <v>755</v>
      </c>
      <c r="F78">
        <v>35</v>
      </c>
      <c r="G78">
        <v>110</v>
      </c>
      <c r="H78" t="str">
        <f t="shared" si="2"/>
        <v>Kardiologia</v>
      </c>
    </row>
    <row r="79" spans="1:8" x14ac:dyDescent="0.3">
      <c r="A79">
        <v>78</v>
      </c>
      <c r="B79">
        <v>85</v>
      </c>
      <c r="C79" t="s">
        <v>422</v>
      </c>
      <c r="D79" t="s">
        <v>756</v>
      </c>
      <c r="E79" t="s">
        <v>757</v>
      </c>
      <c r="F79">
        <v>20</v>
      </c>
      <c r="G79">
        <v>40</v>
      </c>
      <c r="H79" t="str">
        <f t="shared" si="2"/>
        <v>Kontrola</v>
      </c>
    </row>
    <row r="80" spans="1:8" x14ac:dyDescent="0.3">
      <c r="A80">
        <v>79</v>
      </c>
      <c r="B80">
        <v>86</v>
      </c>
      <c r="C80" t="s">
        <v>429</v>
      </c>
      <c r="D80" t="s">
        <v>758</v>
      </c>
      <c r="E80" t="s">
        <v>759</v>
      </c>
      <c r="F80">
        <v>30</v>
      </c>
      <c r="G80">
        <v>70</v>
      </c>
      <c r="H80" t="str">
        <f t="shared" si="2"/>
        <v>Diagnostyka</v>
      </c>
    </row>
    <row r="81" spans="1:8" x14ac:dyDescent="0.3">
      <c r="A81">
        <v>80</v>
      </c>
      <c r="B81">
        <v>87</v>
      </c>
      <c r="C81" t="s">
        <v>398</v>
      </c>
      <c r="D81" t="s">
        <v>760</v>
      </c>
      <c r="E81" t="s">
        <v>761</v>
      </c>
      <c r="F81">
        <v>35</v>
      </c>
      <c r="G81">
        <v>90</v>
      </c>
      <c r="H81" t="str">
        <f t="shared" si="2"/>
        <v>Ortopedia</v>
      </c>
    </row>
    <row r="82" spans="1:8" x14ac:dyDescent="0.3">
      <c r="A82">
        <v>81</v>
      </c>
      <c r="B82">
        <v>88</v>
      </c>
      <c r="C82" t="s">
        <v>422</v>
      </c>
      <c r="D82" t="s">
        <v>762</v>
      </c>
      <c r="E82" t="s">
        <v>763</v>
      </c>
      <c r="F82">
        <v>20</v>
      </c>
      <c r="G82">
        <v>40</v>
      </c>
      <c r="H82" t="str">
        <f t="shared" si="2"/>
        <v>Kontrola</v>
      </c>
    </row>
    <row r="83" spans="1:8" x14ac:dyDescent="0.3">
      <c r="A83">
        <v>82</v>
      </c>
      <c r="B83">
        <v>89</v>
      </c>
      <c r="C83" t="s">
        <v>398</v>
      </c>
      <c r="D83" t="s">
        <v>764</v>
      </c>
      <c r="E83" t="s">
        <v>765</v>
      </c>
      <c r="F83">
        <v>45</v>
      </c>
      <c r="G83">
        <v>110</v>
      </c>
      <c r="H83" t="str">
        <f t="shared" si="2"/>
        <v>Ortopedia</v>
      </c>
    </row>
    <row r="84" spans="1:8" x14ac:dyDescent="0.3">
      <c r="A84">
        <v>83</v>
      </c>
      <c r="B84">
        <v>90</v>
      </c>
      <c r="C84" t="s">
        <v>429</v>
      </c>
      <c r="D84" t="s">
        <v>766</v>
      </c>
      <c r="E84" t="s">
        <v>767</v>
      </c>
      <c r="F84">
        <v>25</v>
      </c>
      <c r="G84">
        <v>80</v>
      </c>
      <c r="H84" t="str">
        <f t="shared" si="2"/>
        <v>Diagnostyka</v>
      </c>
    </row>
    <row r="85" spans="1:8" x14ac:dyDescent="0.3">
      <c r="A85">
        <v>84</v>
      </c>
      <c r="B85">
        <v>91</v>
      </c>
      <c r="C85" t="s">
        <v>389</v>
      </c>
      <c r="D85" t="s">
        <v>768</v>
      </c>
      <c r="E85" t="s">
        <v>769</v>
      </c>
      <c r="F85">
        <v>30</v>
      </c>
      <c r="G85">
        <v>60</v>
      </c>
      <c r="H85" t="str">
        <f t="shared" si="2"/>
        <v>Chirurgia</v>
      </c>
    </row>
    <row r="86" spans="1:8" x14ac:dyDescent="0.3">
      <c r="A86">
        <v>85</v>
      </c>
      <c r="B86">
        <v>92</v>
      </c>
      <c r="C86" t="s">
        <v>398</v>
      </c>
      <c r="D86" t="s">
        <v>770</v>
      </c>
      <c r="E86" t="s">
        <v>771</v>
      </c>
      <c r="F86">
        <v>30</v>
      </c>
      <c r="G86">
        <v>70</v>
      </c>
      <c r="H86" t="str">
        <f t="shared" si="2"/>
        <v>Ortopedia</v>
      </c>
    </row>
    <row r="87" spans="1:8" x14ac:dyDescent="0.3">
      <c r="A87">
        <v>86</v>
      </c>
      <c r="B87">
        <v>93</v>
      </c>
      <c r="C87" t="s">
        <v>409</v>
      </c>
      <c r="D87" t="s">
        <v>772</v>
      </c>
      <c r="E87" t="s">
        <v>773</v>
      </c>
      <c r="F87">
        <v>35</v>
      </c>
      <c r="G87">
        <v>100</v>
      </c>
      <c r="H87" t="str">
        <f t="shared" si="2"/>
        <v>Kardiologia</v>
      </c>
    </row>
    <row r="88" spans="1:8" x14ac:dyDescent="0.3">
      <c r="A88">
        <v>87</v>
      </c>
      <c r="B88">
        <v>94</v>
      </c>
      <c r="C88" t="s">
        <v>389</v>
      </c>
      <c r="D88" t="s">
        <v>774</v>
      </c>
      <c r="E88" t="s">
        <v>775</v>
      </c>
      <c r="F88">
        <v>30</v>
      </c>
      <c r="G88">
        <v>80</v>
      </c>
      <c r="H88" t="str">
        <f t="shared" si="2"/>
        <v>Chirurgia</v>
      </c>
    </row>
    <row r="89" spans="1:8" x14ac:dyDescent="0.3">
      <c r="A89">
        <v>88</v>
      </c>
      <c r="B89">
        <v>95</v>
      </c>
      <c r="C89" t="s">
        <v>398</v>
      </c>
      <c r="D89" t="s">
        <v>776</v>
      </c>
      <c r="E89" t="s">
        <v>777</v>
      </c>
      <c r="F89">
        <v>20</v>
      </c>
      <c r="G89">
        <v>50</v>
      </c>
      <c r="H89" t="str">
        <f t="shared" si="2"/>
        <v>Ortopedia</v>
      </c>
    </row>
    <row r="90" spans="1:8" x14ac:dyDescent="0.3">
      <c r="A90">
        <v>89</v>
      </c>
      <c r="B90">
        <v>96</v>
      </c>
      <c r="C90" t="s">
        <v>394</v>
      </c>
      <c r="D90" t="s">
        <v>741</v>
      </c>
      <c r="E90" t="s">
        <v>778</v>
      </c>
      <c r="F90">
        <v>25</v>
      </c>
      <c r="G90">
        <v>50</v>
      </c>
      <c r="H90" t="str">
        <f t="shared" si="2"/>
        <v>Dermatologia</v>
      </c>
    </row>
    <row r="91" spans="1:8" x14ac:dyDescent="0.3">
      <c r="A91">
        <v>90</v>
      </c>
      <c r="B91">
        <v>97</v>
      </c>
      <c r="C91" t="s">
        <v>409</v>
      </c>
      <c r="D91" t="s">
        <v>779</v>
      </c>
      <c r="E91" t="s">
        <v>780</v>
      </c>
      <c r="F91">
        <v>35</v>
      </c>
      <c r="G91">
        <v>100</v>
      </c>
      <c r="H91" t="str">
        <f t="shared" si="2"/>
        <v>Kardiologia</v>
      </c>
    </row>
    <row r="92" spans="1:8" x14ac:dyDescent="0.3">
      <c r="A92">
        <v>91</v>
      </c>
      <c r="B92">
        <v>98</v>
      </c>
      <c r="C92" t="s">
        <v>394</v>
      </c>
      <c r="D92" t="s">
        <v>781</v>
      </c>
      <c r="E92" t="s">
        <v>782</v>
      </c>
      <c r="F92">
        <v>25</v>
      </c>
      <c r="G92">
        <v>50</v>
      </c>
      <c r="H92" t="str">
        <f t="shared" si="2"/>
        <v>Dermatologia</v>
      </c>
    </row>
    <row r="93" spans="1:8" x14ac:dyDescent="0.3">
      <c r="A93">
        <v>92</v>
      </c>
      <c r="B93">
        <v>99</v>
      </c>
      <c r="C93" t="s">
        <v>394</v>
      </c>
      <c r="D93" t="s">
        <v>783</v>
      </c>
      <c r="E93" t="s">
        <v>784</v>
      </c>
      <c r="F93">
        <v>25</v>
      </c>
      <c r="G93">
        <v>50</v>
      </c>
      <c r="H93" t="str">
        <f t="shared" si="2"/>
        <v>Dermatologia</v>
      </c>
    </row>
    <row r="94" spans="1:8" x14ac:dyDescent="0.3">
      <c r="A94">
        <v>93</v>
      </c>
      <c r="B94">
        <v>100</v>
      </c>
      <c r="C94" t="s">
        <v>398</v>
      </c>
      <c r="D94" t="s">
        <v>785</v>
      </c>
      <c r="E94" t="s">
        <v>786</v>
      </c>
      <c r="F94">
        <v>25</v>
      </c>
      <c r="G94">
        <v>60</v>
      </c>
      <c r="H94" t="str">
        <f t="shared" si="2"/>
        <v>Ortopedia</v>
      </c>
    </row>
    <row r="95" spans="1:8" x14ac:dyDescent="0.3">
      <c r="A95">
        <v>94</v>
      </c>
      <c r="B95">
        <v>101</v>
      </c>
      <c r="C95" t="s">
        <v>398</v>
      </c>
      <c r="D95" t="s">
        <v>787</v>
      </c>
      <c r="E95" t="s">
        <v>788</v>
      </c>
      <c r="F95">
        <v>30</v>
      </c>
      <c r="G95">
        <v>70</v>
      </c>
      <c r="H95" t="str">
        <f t="shared" si="2"/>
        <v>Ortopedia</v>
      </c>
    </row>
    <row r="96" spans="1:8" x14ac:dyDescent="0.3">
      <c r="A96">
        <v>95</v>
      </c>
      <c r="B96">
        <v>102</v>
      </c>
      <c r="C96" t="s">
        <v>398</v>
      </c>
      <c r="D96" t="s">
        <v>789</v>
      </c>
      <c r="E96" t="s">
        <v>790</v>
      </c>
      <c r="F96">
        <v>35</v>
      </c>
      <c r="G96">
        <v>70</v>
      </c>
      <c r="H96" t="str">
        <f t="shared" si="2"/>
        <v>Ortopedia</v>
      </c>
    </row>
    <row r="97" spans="1:8" x14ac:dyDescent="0.3">
      <c r="A97">
        <v>96</v>
      </c>
      <c r="B97">
        <v>103</v>
      </c>
      <c r="C97" t="s">
        <v>394</v>
      </c>
      <c r="D97" t="s">
        <v>791</v>
      </c>
      <c r="E97" t="s">
        <v>792</v>
      </c>
      <c r="F97">
        <v>25</v>
      </c>
      <c r="G97">
        <v>50</v>
      </c>
      <c r="H97" t="str">
        <f t="shared" si="2"/>
        <v>Dermatologia</v>
      </c>
    </row>
    <row r="98" spans="1:8" x14ac:dyDescent="0.3">
      <c r="A98">
        <v>97</v>
      </c>
      <c r="B98">
        <v>104</v>
      </c>
      <c r="C98" t="s">
        <v>427</v>
      </c>
      <c r="D98" t="s">
        <v>793</v>
      </c>
      <c r="E98" t="s">
        <v>794</v>
      </c>
      <c r="F98">
        <v>30</v>
      </c>
      <c r="G98">
        <v>60</v>
      </c>
      <c r="H98" t="str">
        <f t="shared" ref="H98:H129" si="3" xml:space="preserve"> IF(ISNUMBER(FIND("szczep",C98)),"Szczepienie",
IF(ISNUMBER(FIND("kardio",C98)),"Kardiologia",
IF(ISNUMBER(FIND("ortoped",C98)),"Ortopedia",
IF(ISNUMBER(FIND("uraz",C98)),"Ortopedia",
IF(ISNUMBER(FIND("dermat",C98)),"Dermatologia",
IF(ISNUMBER(FIND("chirurg",C98)),"Chirurgia",
IF(ISNUMBER(FIND("operac",C98)),"Chirurgia",
IF(ISNUMBER(FIND("diagnost",C98)),"Diagnostyka",
IF(ISNUMBER(FIND("odrobacz",C98)),"Odrobaczanie",
IF(ISNUMBER(FIND("kontrola",C98)),"Kontrola",
IF(ISNUMBER(FIND("alergia",C98)),"Dermatologia",
IF(ISNUMBER(FIND("dieta",C98)),"Dieta",
"Badanie ogólne"))))))))))))</f>
        <v>Badanie ogólne</v>
      </c>
    </row>
    <row r="99" spans="1:8" x14ac:dyDescent="0.3">
      <c r="A99">
        <v>98</v>
      </c>
      <c r="B99">
        <v>105</v>
      </c>
      <c r="C99" t="s">
        <v>529</v>
      </c>
      <c r="D99" t="s">
        <v>795</v>
      </c>
      <c r="E99" t="s">
        <v>796</v>
      </c>
      <c r="F99">
        <v>25</v>
      </c>
      <c r="G99">
        <v>45</v>
      </c>
      <c r="H99" t="str">
        <f t="shared" si="3"/>
        <v>Dieta</v>
      </c>
    </row>
    <row r="100" spans="1:8" x14ac:dyDescent="0.3">
      <c r="A100">
        <v>99</v>
      </c>
      <c r="B100">
        <v>106</v>
      </c>
      <c r="C100" t="s">
        <v>394</v>
      </c>
      <c r="D100" t="s">
        <v>797</v>
      </c>
      <c r="E100" t="s">
        <v>798</v>
      </c>
      <c r="F100">
        <v>40</v>
      </c>
      <c r="G100">
        <v>100</v>
      </c>
      <c r="H100" t="str">
        <f t="shared" si="3"/>
        <v>Dermatologia</v>
      </c>
    </row>
    <row r="101" spans="1:8" x14ac:dyDescent="0.3">
      <c r="A101">
        <v>100</v>
      </c>
      <c r="B101">
        <v>107</v>
      </c>
      <c r="C101" t="s">
        <v>394</v>
      </c>
      <c r="D101" t="s">
        <v>799</v>
      </c>
      <c r="E101" t="s">
        <v>800</v>
      </c>
      <c r="F101">
        <v>25</v>
      </c>
      <c r="G101">
        <v>50</v>
      </c>
      <c r="H101" t="str">
        <f t="shared" si="3"/>
        <v>Dermatologia</v>
      </c>
    </row>
    <row r="102" spans="1:8" x14ac:dyDescent="0.3">
      <c r="A102">
        <v>101</v>
      </c>
      <c r="B102">
        <v>108</v>
      </c>
      <c r="C102" t="s">
        <v>427</v>
      </c>
      <c r="D102" t="s">
        <v>801</v>
      </c>
      <c r="E102" t="s">
        <v>802</v>
      </c>
      <c r="F102">
        <v>30</v>
      </c>
      <c r="G102">
        <v>60</v>
      </c>
      <c r="H102" t="str">
        <f t="shared" si="3"/>
        <v>Badanie ogólne</v>
      </c>
    </row>
    <row r="103" spans="1:8" x14ac:dyDescent="0.3">
      <c r="A103">
        <v>102</v>
      </c>
      <c r="B103">
        <v>109</v>
      </c>
      <c r="C103" t="s">
        <v>453</v>
      </c>
      <c r="D103" t="s">
        <v>803</v>
      </c>
      <c r="E103" t="s">
        <v>804</v>
      </c>
      <c r="F103">
        <v>15</v>
      </c>
      <c r="G103">
        <v>30</v>
      </c>
      <c r="H103" t="str">
        <f t="shared" si="3"/>
        <v>Odrobaczanie</v>
      </c>
    </row>
    <row r="104" spans="1:8" x14ac:dyDescent="0.3">
      <c r="A104">
        <v>103</v>
      </c>
      <c r="B104">
        <v>110</v>
      </c>
      <c r="C104" t="s">
        <v>394</v>
      </c>
      <c r="D104" t="s">
        <v>805</v>
      </c>
      <c r="E104" t="s">
        <v>784</v>
      </c>
      <c r="F104">
        <v>25</v>
      </c>
      <c r="G104">
        <v>50</v>
      </c>
      <c r="H104" t="str">
        <f t="shared" si="3"/>
        <v>Dermatologia</v>
      </c>
    </row>
    <row r="105" spans="1:8" x14ac:dyDescent="0.3">
      <c r="A105">
        <v>104</v>
      </c>
      <c r="B105">
        <v>111</v>
      </c>
      <c r="C105" t="s">
        <v>409</v>
      </c>
      <c r="D105" t="s">
        <v>806</v>
      </c>
      <c r="E105" t="s">
        <v>807</v>
      </c>
      <c r="F105">
        <v>35</v>
      </c>
      <c r="G105">
        <v>100</v>
      </c>
      <c r="H105" t="str">
        <f t="shared" si="3"/>
        <v>Kardiologia</v>
      </c>
    </row>
    <row r="106" spans="1:8" x14ac:dyDescent="0.3">
      <c r="A106">
        <v>105</v>
      </c>
      <c r="B106">
        <v>112</v>
      </c>
      <c r="C106" t="s">
        <v>427</v>
      </c>
      <c r="D106" t="s">
        <v>793</v>
      </c>
      <c r="E106" t="s">
        <v>808</v>
      </c>
      <c r="F106">
        <v>30</v>
      </c>
      <c r="G106">
        <v>65</v>
      </c>
      <c r="H106" t="str">
        <f t="shared" si="3"/>
        <v>Badanie ogólne</v>
      </c>
    </row>
    <row r="107" spans="1:8" x14ac:dyDescent="0.3">
      <c r="A107">
        <v>106</v>
      </c>
      <c r="B107">
        <v>113</v>
      </c>
      <c r="C107" t="s">
        <v>394</v>
      </c>
      <c r="D107" t="s">
        <v>809</v>
      </c>
      <c r="E107" t="s">
        <v>810</v>
      </c>
      <c r="F107">
        <v>35</v>
      </c>
      <c r="G107">
        <v>75</v>
      </c>
      <c r="H107" t="str">
        <f t="shared" si="3"/>
        <v>Dermatologia</v>
      </c>
    </row>
    <row r="108" spans="1:8" x14ac:dyDescent="0.3">
      <c r="A108">
        <v>107</v>
      </c>
      <c r="B108">
        <v>114</v>
      </c>
      <c r="C108" t="s">
        <v>417</v>
      </c>
      <c r="D108" t="s">
        <v>811</v>
      </c>
      <c r="E108" t="s">
        <v>693</v>
      </c>
      <c r="F108">
        <v>25</v>
      </c>
      <c r="G108">
        <v>65</v>
      </c>
      <c r="H108" t="str">
        <f t="shared" si="3"/>
        <v>Szczepienie</v>
      </c>
    </row>
    <row r="109" spans="1:8" x14ac:dyDescent="0.3">
      <c r="A109">
        <v>108</v>
      </c>
      <c r="B109">
        <v>115</v>
      </c>
      <c r="C109" t="s">
        <v>398</v>
      </c>
      <c r="D109" t="s">
        <v>812</v>
      </c>
      <c r="E109" t="s">
        <v>813</v>
      </c>
      <c r="F109">
        <v>30</v>
      </c>
      <c r="G109">
        <v>80</v>
      </c>
      <c r="H109" t="str">
        <f t="shared" si="3"/>
        <v>Ortopedia</v>
      </c>
    </row>
    <row r="110" spans="1:8" x14ac:dyDescent="0.3">
      <c r="A110">
        <v>109</v>
      </c>
      <c r="B110">
        <v>116</v>
      </c>
      <c r="C110" t="s">
        <v>394</v>
      </c>
      <c r="D110" t="s">
        <v>814</v>
      </c>
      <c r="E110" t="s">
        <v>815</v>
      </c>
      <c r="F110">
        <v>40</v>
      </c>
      <c r="G110">
        <v>80</v>
      </c>
      <c r="H110" t="str">
        <f t="shared" si="3"/>
        <v>Dermatologia</v>
      </c>
    </row>
    <row r="111" spans="1:8" x14ac:dyDescent="0.3">
      <c r="A111">
        <v>110</v>
      </c>
      <c r="B111">
        <v>117</v>
      </c>
      <c r="C111" t="s">
        <v>427</v>
      </c>
      <c r="D111" t="s">
        <v>658</v>
      </c>
      <c r="E111" t="s">
        <v>816</v>
      </c>
      <c r="F111">
        <v>30</v>
      </c>
      <c r="G111">
        <v>60</v>
      </c>
      <c r="H111" t="str">
        <f t="shared" si="3"/>
        <v>Badanie ogólne</v>
      </c>
    </row>
    <row r="112" spans="1:8" x14ac:dyDescent="0.3">
      <c r="A112">
        <v>111</v>
      </c>
      <c r="B112">
        <v>118</v>
      </c>
      <c r="C112" t="s">
        <v>429</v>
      </c>
      <c r="D112" t="s">
        <v>817</v>
      </c>
      <c r="E112" t="s">
        <v>818</v>
      </c>
      <c r="F112">
        <v>35</v>
      </c>
      <c r="G112">
        <v>95</v>
      </c>
      <c r="H112" t="str">
        <f t="shared" si="3"/>
        <v>Diagnostyka</v>
      </c>
    </row>
    <row r="113" spans="1:8" x14ac:dyDescent="0.3">
      <c r="A113">
        <v>112</v>
      </c>
      <c r="B113">
        <v>119</v>
      </c>
      <c r="C113" t="s">
        <v>398</v>
      </c>
      <c r="D113" t="s">
        <v>819</v>
      </c>
      <c r="E113" t="s">
        <v>820</v>
      </c>
      <c r="F113">
        <v>25</v>
      </c>
      <c r="G113">
        <v>60</v>
      </c>
      <c r="H113" t="str">
        <f t="shared" si="3"/>
        <v>Ortopedia</v>
      </c>
    </row>
    <row r="114" spans="1:8" x14ac:dyDescent="0.3">
      <c r="A114">
        <v>113</v>
      </c>
      <c r="B114">
        <v>120</v>
      </c>
      <c r="C114" t="s">
        <v>427</v>
      </c>
      <c r="D114" t="s">
        <v>821</v>
      </c>
      <c r="E114" t="s">
        <v>802</v>
      </c>
      <c r="F114">
        <v>30</v>
      </c>
      <c r="G114">
        <v>60</v>
      </c>
      <c r="H114" t="str">
        <f t="shared" si="3"/>
        <v>Badanie ogólne</v>
      </c>
    </row>
    <row r="115" spans="1:8" x14ac:dyDescent="0.3">
      <c r="A115">
        <v>114</v>
      </c>
      <c r="B115">
        <v>121</v>
      </c>
      <c r="C115" t="s">
        <v>417</v>
      </c>
      <c r="D115" t="s">
        <v>822</v>
      </c>
      <c r="E115" t="s">
        <v>823</v>
      </c>
      <c r="F115">
        <v>20</v>
      </c>
      <c r="G115">
        <v>60</v>
      </c>
      <c r="H115" t="str">
        <f t="shared" si="3"/>
        <v>Szczepienie</v>
      </c>
    </row>
    <row r="116" spans="1:8" x14ac:dyDescent="0.3">
      <c r="A116">
        <v>115</v>
      </c>
      <c r="B116">
        <v>122</v>
      </c>
      <c r="C116" t="s">
        <v>422</v>
      </c>
      <c r="D116" t="s">
        <v>824</v>
      </c>
      <c r="E116" t="s">
        <v>825</v>
      </c>
      <c r="F116">
        <v>20</v>
      </c>
      <c r="G116">
        <v>40</v>
      </c>
      <c r="H116" t="str">
        <f t="shared" si="3"/>
        <v>Kontrola</v>
      </c>
    </row>
    <row r="117" spans="1:8" x14ac:dyDescent="0.3">
      <c r="A117">
        <v>116</v>
      </c>
      <c r="B117">
        <v>123</v>
      </c>
      <c r="C117" t="s">
        <v>427</v>
      </c>
      <c r="D117" t="s">
        <v>826</v>
      </c>
      <c r="E117" t="s">
        <v>802</v>
      </c>
      <c r="F117">
        <v>30</v>
      </c>
      <c r="G117">
        <v>60</v>
      </c>
      <c r="H117" t="str">
        <f t="shared" si="3"/>
        <v>Badanie ogólne</v>
      </c>
    </row>
    <row r="118" spans="1:8" x14ac:dyDescent="0.3">
      <c r="A118">
        <v>117</v>
      </c>
      <c r="B118">
        <v>124</v>
      </c>
      <c r="C118" t="s">
        <v>417</v>
      </c>
      <c r="D118" t="s">
        <v>827</v>
      </c>
      <c r="E118" t="s">
        <v>828</v>
      </c>
      <c r="F118">
        <v>20</v>
      </c>
      <c r="G118">
        <v>55</v>
      </c>
      <c r="H118" t="str">
        <f t="shared" si="3"/>
        <v>Szczepienie</v>
      </c>
    </row>
    <row r="119" spans="1:8" x14ac:dyDescent="0.3">
      <c r="A119">
        <v>118</v>
      </c>
      <c r="B119">
        <v>125</v>
      </c>
      <c r="C119" t="s">
        <v>422</v>
      </c>
      <c r="D119" t="s">
        <v>829</v>
      </c>
      <c r="E119" t="s">
        <v>830</v>
      </c>
      <c r="F119">
        <v>20</v>
      </c>
      <c r="G119">
        <v>40</v>
      </c>
      <c r="H119" t="str">
        <f t="shared" si="3"/>
        <v>Kontrola</v>
      </c>
    </row>
    <row r="120" spans="1:8" x14ac:dyDescent="0.3">
      <c r="A120">
        <v>119</v>
      </c>
      <c r="B120">
        <v>126</v>
      </c>
      <c r="C120" t="s">
        <v>429</v>
      </c>
      <c r="D120" t="s">
        <v>831</v>
      </c>
      <c r="E120" t="s">
        <v>832</v>
      </c>
      <c r="F120">
        <v>40</v>
      </c>
      <c r="G120">
        <v>160</v>
      </c>
      <c r="H120" t="str">
        <f t="shared" si="3"/>
        <v>Diagnostyka</v>
      </c>
    </row>
    <row r="121" spans="1:8" x14ac:dyDescent="0.3">
      <c r="A121">
        <v>120</v>
      </c>
      <c r="B121">
        <v>127</v>
      </c>
      <c r="C121" t="s">
        <v>453</v>
      </c>
      <c r="D121" t="s">
        <v>833</v>
      </c>
      <c r="E121" t="s">
        <v>834</v>
      </c>
      <c r="F121">
        <v>15</v>
      </c>
      <c r="G121">
        <v>35</v>
      </c>
      <c r="H121" t="str">
        <f t="shared" si="3"/>
        <v>Odrobaczanie</v>
      </c>
    </row>
    <row r="122" spans="1:8" x14ac:dyDescent="0.3">
      <c r="A122">
        <v>121</v>
      </c>
      <c r="B122">
        <v>128</v>
      </c>
      <c r="C122" t="s">
        <v>427</v>
      </c>
      <c r="D122" t="s">
        <v>835</v>
      </c>
      <c r="E122" t="s">
        <v>727</v>
      </c>
      <c r="F122">
        <v>30</v>
      </c>
      <c r="G122">
        <v>65</v>
      </c>
      <c r="H122" t="str">
        <f t="shared" si="3"/>
        <v>Badanie ogólne</v>
      </c>
    </row>
    <row r="123" spans="1:8" x14ac:dyDescent="0.3">
      <c r="A123">
        <v>122</v>
      </c>
      <c r="B123">
        <v>129</v>
      </c>
      <c r="C123" t="s">
        <v>422</v>
      </c>
      <c r="D123" t="s">
        <v>836</v>
      </c>
      <c r="E123" t="s">
        <v>837</v>
      </c>
      <c r="F123">
        <v>20</v>
      </c>
      <c r="G123">
        <v>40</v>
      </c>
      <c r="H123" t="str">
        <f t="shared" si="3"/>
        <v>Kontrola</v>
      </c>
    </row>
    <row r="124" spans="1:8" x14ac:dyDescent="0.3">
      <c r="A124">
        <v>123</v>
      </c>
      <c r="B124">
        <v>130</v>
      </c>
      <c r="C124" t="s">
        <v>417</v>
      </c>
      <c r="D124" t="s">
        <v>838</v>
      </c>
      <c r="E124" t="s">
        <v>839</v>
      </c>
      <c r="F124">
        <v>20</v>
      </c>
      <c r="G124">
        <v>55</v>
      </c>
      <c r="H124" t="str">
        <f t="shared" si="3"/>
        <v>Szczepienie</v>
      </c>
    </row>
    <row r="125" spans="1:8" x14ac:dyDescent="0.3">
      <c r="A125">
        <v>124</v>
      </c>
      <c r="B125">
        <v>131</v>
      </c>
      <c r="C125" t="s">
        <v>429</v>
      </c>
      <c r="D125" t="s">
        <v>840</v>
      </c>
      <c r="E125" t="s">
        <v>841</v>
      </c>
      <c r="F125">
        <v>30</v>
      </c>
      <c r="G125">
        <v>85</v>
      </c>
      <c r="H125" t="str">
        <f t="shared" si="3"/>
        <v>Diagnostyka</v>
      </c>
    </row>
    <row r="126" spans="1:8" x14ac:dyDescent="0.3">
      <c r="A126">
        <v>125</v>
      </c>
      <c r="B126">
        <v>132</v>
      </c>
      <c r="C126" t="s">
        <v>453</v>
      </c>
      <c r="D126" t="s">
        <v>842</v>
      </c>
      <c r="E126" t="s">
        <v>843</v>
      </c>
      <c r="F126">
        <v>15</v>
      </c>
      <c r="G126">
        <v>35</v>
      </c>
      <c r="H126" t="str">
        <f t="shared" si="3"/>
        <v>Odrobaczanie</v>
      </c>
    </row>
    <row r="127" spans="1:8" x14ac:dyDescent="0.3">
      <c r="A127">
        <v>126</v>
      </c>
      <c r="B127">
        <v>133</v>
      </c>
      <c r="C127" t="s">
        <v>409</v>
      </c>
      <c r="D127" t="s">
        <v>844</v>
      </c>
      <c r="E127" t="s">
        <v>845</v>
      </c>
      <c r="F127">
        <v>45</v>
      </c>
      <c r="G127">
        <v>230</v>
      </c>
      <c r="H127" t="str">
        <f t="shared" si="3"/>
        <v>Kardiologia</v>
      </c>
    </row>
    <row r="128" spans="1:8" x14ac:dyDescent="0.3">
      <c r="A128">
        <v>127</v>
      </c>
      <c r="B128">
        <v>134</v>
      </c>
      <c r="C128" t="s">
        <v>409</v>
      </c>
      <c r="D128" t="s">
        <v>846</v>
      </c>
      <c r="E128" t="s">
        <v>847</v>
      </c>
      <c r="F128">
        <v>35</v>
      </c>
      <c r="G128">
        <v>100</v>
      </c>
      <c r="H128" t="str">
        <f t="shared" si="3"/>
        <v>Kardiologia</v>
      </c>
    </row>
    <row r="129" spans="1:8" x14ac:dyDescent="0.3">
      <c r="A129">
        <v>128</v>
      </c>
      <c r="B129">
        <v>135</v>
      </c>
      <c r="C129" t="s">
        <v>398</v>
      </c>
      <c r="D129" t="s">
        <v>848</v>
      </c>
      <c r="E129" t="s">
        <v>849</v>
      </c>
      <c r="F129">
        <v>35</v>
      </c>
      <c r="G129">
        <v>90</v>
      </c>
      <c r="H129" t="str">
        <f t="shared" si="3"/>
        <v>Ortopedia</v>
      </c>
    </row>
    <row r="130" spans="1:8" x14ac:dyDescent="0.3">
      <c r="A130">
        <v>129</v>
      </c>
      <c r="B130">
        <v>136</v>
      </c>
      <c r="C130" t="s">
        <v>417</v>
      </c>
      <c r="D130" t="s">
        <v>850</v>
      </c>
      <c r="E130" t="s">
        <v>851</v>
      </c>
      <c r="F130">
        <v>25</v>
      </c>
      <c r="G130">
        <v>90</v>
      </c>
      <c r="H130" t="str">
        <f t="shared" ref="H130:H148" si="4" xml:space="preserve"> IF(ISNUMBER(FIND("szczep",C130)),"Szczepienie",
IF(ISNUMBER(FIND("kardio",C130)),"Kardiologia",
IF(ISNUMBER(FIND("ortoped",C130)),"Ortopedia",
IF(ISNUMBER(FIND("uraz",C130)),"Ortopedia",
IF(ISNUMBER(FIND("dermat",C130)),"Dermatologia",
IF(ISNUMBER(FIND("chirurg",C130)),"Chirurgia",
IF(ISNUMBER(FIND("operac",C130)),"Chirurgia",
IF(ISNUMBER(FIND("diagnost",C130)),"Diagnostyka",
IF(ISNUMBER(FIND("odrobacz",C130)),"Odrobaczanie",
IF(ISNUMBER(FIND("kontrola",C130)),"Kontrola",
IF(ISNUMBER(FIND("alergia",C130)),"Dermatologia",
IF(ISNUMBER(FIND("dieta",C130)),"Dieta",
"Badanie ogólne"))))))))))))</f>
        <v>Szczepienie</v>
      </c>
    </row>
    <row r="131" spans="1:8" x14ac:dyDescent="0.3">
      <c r="A131">
        <v>130</v>
      </c>
      <c r="B131">
        <v>137</v>
      </c>
      <c r="C131" t="s">
        <v>429</v>
      </c>
      <c r="D131" t="s">
        <v>852</v>
      </c>
      <c r="E131" t="s">
        <v>853</v>
      </c>
      <c r="F131">
        <v>35</v>
      </c>
      <c r="G131">
        <v>120</v>
      </c>
      <c r="H131" t="str">
        <f t="shared" si="4"/>
        <v>Diagnostyka</v>
      </c>
    </row>
    <row r="132" spans="1:8" x14ac:dyDescent="0.3">
      <c r="A132">
        <v>131</v>
      </c>
      <c r="B132">
        <v>138</v>
      </c>
      <c r="C132" t="s">
        <v>429</v>
      </c>
      <c r="D132" t="s">
        <v>766</v>
      </c>
      <c r="E132" t="s">
        <v>854</v>
      </c>
      <c r="F132">
        <v>30</v>
      </c>
      <c r="G132">
        <v>85</v>
      </c>
      <c r="H132" t="str">
        <f t="shared" si="4"/>
        <v>Diagnostyka</v>
      </c>
    </row>
    <row r="133" spans="1:8" x14ac:dyDescent="0.3">
      <c r="A133">
        <v>132</v>
      </c>
      <c r="B133">
        <v>139</v>
      </c>
      <c r="C133" t="s">
        <v>394</v>
      </c>
      <c r="D133" t="s">
        <v>855</v>
      </c>
      <c r="E133" t="s">
        <v>856</v>
      </c>
      <c r="F133">
        <v>35</v>
      </c>
      <c r="G133">
        <v>75</v>
      </c>
      <c r="H133" t="str">
        <f t="shared" si="4"/>
        <v>Dermatologia</v>
      </c>
    </row>
    <row r="134" spans="1:8" x14ac:dyDescent="0.3">
      <c r="A134">
        <v>133</v>
      </c>
      <c r="B134">
        <v>140</v>
      </c>
      <c r="C134" t="s">
        <v>417</v>
      </c>
      <c r="D134" t="s">
        <v>857</v>
      </c>
      <c r="E134" t="s">
        <v>858</v>
      </c>
      <c r="F134">
        <v>20</v>
      </c>
      <c r="G134">
        <v>55</v>
      </c>
      <c r="H134" t="str">
        <f t="shared" si="4"/>
        <v>Szczepienie</v>
      </c>
    </row>
    <row r="135" spans="1:8" x14ac:dyDescent="0.3">
      <c r="A135">
        <v>134</v>
      </c>
      <c r="B135">
        <v>141</v>
      </c>
      <c r="C135" t="s">
        <v>427</v>
      </c>
      <c r="D135" t="s">
        <v>859</v>
      </c>
      <c r="E135" t="s">
        <v>802</v>
      </c>
      <c r="F135">
        <v>30</v>
      </c>
      <c r="G135">
        <v>60</v>
      </c>
      <c r="H135" t="str">
        <f t="shared" si="4"/>
        <v>Badanie ogólne</v>
      </c>
    </row>
    <row r="136" spans="1:8" x14ac:dyDescent="0.3">
      <c r="A136">
        <v>135</v>
      </c>
      <c r="B136">
        <v>142</v>
      </c>
      <c r="C136" t="s">
        <v>420</v>
      </c>
      <c r="D136" t="s">
        <v>860</v>
      </c>
      <c r="E136" t="s">
        <v>861</v>
      </c>
      <c r="F136">
        <v>25</v>
      </c>
      <c r="G136">
        <v>50</v>
      </c>
      <c r="H136" t="str">
        <f t="shared" si="4"/>
        <v>Dermatologia</v>
      </c>
    </row>
    <row r="137" spans="1:8" x14ac:dyDescent="0.3">
      <c r="A137">
        <v>136</v>
      </c>
      <c r="B137">
        <v>143</v>
      </c>
      <c r="C137" t="s">
        <v>417</v>
      </c>
      <c r="D137" t="s">
        <v>862</v>
      </c>
      <c r="E137" t="s">
        <v>823</v>
      </c>
      <c r="F137">
        <v>20</v>
      </c>
      <c r="G137">
        <v>55</v>
      </c>
      <c r="H137" t="str">
        <f t="shared" si="4"/>
        <v>Szczepienie</v>
      </c>
    </row>
    <row r="138" spans="1:8" x14ac:dyDescent="0.3">
      <c r="A138">
        <v>137</v>
      </c>
      <c r="B138">
        <v>144</v>
      </c>
      <c r="C138" t="s">
        <v>429</v>
      </c>
      <c r="D138" t="s">
        <v>863</v>
      </c>
      <c r="E138" t="s">
        <v>832</v>
      </c>
      <c r="F138">
        <v>40</v>
      </c>
      <c r="G138">
        <v>160</v>
      </c>
      <c r="H138" t="str">
        <f t="shared" si="4"/>
        <v>Diagnostyka</v>
      </c>
    </row>
    <row r="139" spans="1:8" x14ac:dyDescent="0.3">
      <c r="A139">
        <v>138</v>
      </c>
      <c r="B139">
        <v>145</v>
      </c>
      <c r="C139" t="s">
        <v>389</v>
      </c>
      <c r="D139" t="s">
        <v>864</v>
      </c>
      <c r="E139" t="s">
        <v>865</v>
      </c>
      <c r="F139">
        <v>25</v>
      </c>
      <c r="G139">
        <v>70</v>
      </c>
      <c r="H139" t="str">
        <f t="shared" si="4"/>
        <v>Chirurgia</v>
      </c>
    </row>
    <row r="140" spans="1:8" x14ac:dyDescent="0.3">
      <c r="A140">
        <v>139</v>
      </c>
      <c r="B140">
        <v>146</v>
      </c>
      <c r="C140" t="s">
        <v>394</v>
      </c>
      <c r="D140" t="s">
        <v>866</v>
      </c>
      <c r="E140" t="s">
        <v>784</v>
      </c>
      <c r="F140">
        <v>25</v>
      </c>
      <c r="G140">
        <v>50</v>
      </c>
      <c r="H140" t="str">
        <f t="shared" si="4"/>
        <v>Dermatologia</v>
      </c>
    </row>
    <row r="141" spans="1:8" x14ac:dyDescent="0.3">
      <c r="A141">
        <v>140</v>
      </c>
      <c r="B141">
        <v>147</v>
      </c>
      <c r="C141" t="s">
        <v>427</v>
      </c>
      <c r="D141" t="s">
        <v>801</v>
      </c>
      <c r="E141" t="s">
        <v>802</v>
      </c>
      <c r="F141">
        <v>30</v>
      </c>
      <c r="G141">
        <v>60</v>
      </c>
      <c r="H141" t="str">
        <f t="shared" si="4"/>
        <v>Badanie ogólne</v>
      </c>
    </row>
    <row r="142" spans="1:8" x14ac:dyDescent="0.3">
      <c r="A142">
        <v>141</v>
      </c>
      <c r="B142">
        <v>148</v>
      </c>
      <c r="C142" t="s">
        <v>409</v>
      </c>
      <c r="D142" t="s">
        <v>867</v>
      </c>
      <c r="E142" t="s">
        <v>868</v>
      </c>
      <c r="F142">
        <v>35</v>
      </c>
      <c r="G142">
        <v>100</v>
      </c>
      <c r="H142" t="str">
        <f t="shared" si="4"/>
        <v>Kardiologia</v>
      </c>
    </row>
    <row r="143" spans="1:8" x14ac:dyDescent="0.3">
      <c r="A143">
        <v>142</v>
      </c>
      <c r="B143">
        <v>149</v>
      </c>
      <c r="C143" t="s">
        <v>417</v>
      </c>
      <c r="D143" t="s">
        <v>1010</v>
      </c>
      <c r="E143" t="s">
        <v>1011</v>
      </c>
      <c r="F143">
        <v>20</v>
      </c>
      <c r="G143">
        <v>55</v>
      </c>
      <c r="H143" t="str">
        <f t="shared" si="4"/>
        <v>Szczepienie</v>
      </c>
    </row>
    <row r="144" spans="1:8" x14ac:dyDescent="0.3">
      <c r="A144">
        <v>143</v>
      </c>
      <c r="B144">
        <v>150</v>
      </c>
      <c r="C144" t="s">
        <v>429</v>
      </c>
      <c r="D144" t="s">
        <v>1012</v>
      </c>
      <c r="E144" t="s">
        <v>1013</v>
      </c>
      <c r="F144">
        <v>35</v>
      </c>
      <c r="G144">
        <v>90</v>
      </c>
      <c r="H144" t="str">
        <f t="shared" si="4"/>
        <v>Diagnostyka</v>
      </c>
    </row>
    <row r="145" spans="1:8" x14ac:dyDescent="0.3">
      <c r="A145">
        <v>144</v>
      </c>
      <c r="B145">
        <v>151</v>
      </c>
      <c r="C145" t="s">
        <v>389</v>
      </c>
      <c r="D145" t="s">
        <v>1014</v>
      </c>
      <c r="E145" t="s">
        <v>1015</v>
      </c>
      <c r="F145">
        <v>25</v>
      </c>
      <c r="G145">
        <v>80</v>
      </c>
      <c r="H145" t="str">
        <f t="shared" si="4"/>
        <v>Chirurgia</v>
      </c>
    </row>
    <row r="146" spans="1:8" x14ac:dyDescent="0.3">
      <c r="A146">
        <v>145</v>
      </c>
      <c r="B146">
        <v>152</v>
      </c>
      <c r="C146" t="s">
        <v>394</v>
      </c>
      <c r="D146" t="s">
        <v>1016</v>
      </c>
      <c r="E146" t="s">
        <v>1017</v>
      </c>
      <c r="F146">
        <v>30</v>
      </c>
      <c r="G146">
        <v>65</v>
      </c>
      <c r="H146" t="str">
        <f t="shared" si="4"/>
        <v>Dermatologia</v>
      </c>
    </row>
    <row r="147" spans="1:8" x14ac:dyDescent="0.3">
      <c r="A147">
        <v>146</v>
      </c>
      <c r="B147">
        <v>153</v>
      </c>
      <c r="C147" t="s">
        <v>427</v>
      </c>
      <c r="D147" t="s">
        <v>749</v>
      </c>
      <c r="E147" t="s">
        <v>1018</v>
      </c>
      <c r="F147">
        <v>20</v>
      </c>
      <c r="G147">
        <v>50</v>
      </c>
      <c r="H147" t="str">
        <f t="shared" si="4"/>
        <v>Badanie ogólne</v>
      </c>
    </row>
    <row r="148" spans="1:8" x14ac:dyDescent="0.3">
      <c r="A148">
        <v>147</v>
      </c>
      <c r="B148">
        <v>154</v>
      </c>
      <c r="C148" t="s">
        <v>409</v>
      </c>
      <c r="D148" t="s">
        <v>1019</v>
      </c>
      <c r="E148" t="s">
        <v>1020</v>
      </c>
      <c r="F148">
        <v>40</v>
      </c>
      <c r="G148">
        <v>120</v>
      </c>
      <c r="H148" t="str">
        <f t="shared" si="4"/>
        <v>Kardiologia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"/>
  <sheetViews>
    <sheetView workbookViewId="0">
      <selection activeCell="C50" sqref="C50"/>
    </sheetView>
  </sheetViews>
  <sheetFormatPr defaultRowHeight="14.4" x14ac:dyDescent="0.3"/>
  <cols>
    <col min="1" max="1" width="15.88671875" bestFit="1" customWidth="1"/>
    <col min="2" max="2" width="14.21875" bestFit="1" customWidth="1"/>
    <col min="3" max="3" width="27.5546875" bestFit="1" customWidth="1"/>
    <col min="4" max="4" width="21.44140625" bestFit="1" customWidth="1"/>
    <col min="5" max="5" width="15.44140625" bestFit="1" customWidth="1"/>
    <col min="6" max="6" width="57.33203125" bestFit="1" customWidth="1"/>
  </cols>
  <sheetData>
    <row r="1" spans="1:6" x14ac:dyDescent="0.3">
      <c r="A1" t="s">
        <v>869</v>
      </c>
      <c r="B1" t="s">
        <v>598</v>
      </c>
      <c r="C1" t="s">
        <v>870</v>
      </c>
      <c r="D1" t="s">
        <v>871</v>
      </c>
      <c r="E1" t="s">
        <v>872</v>
      </c>
      <c r="F1" t="s">
        <v>415</v>
      </c>
    </row>
    <row r="2" spans="1:6" x14ac:dyDescent="0.3">
      <c r="A2">
        <v>1</v>
      </c>
      <c r="B2">
        <v>2</v>
      </c>
      <c r="C2" t="s">
        <v>873</v>
      </c>
      <c r="D2" t="s">
        <v>874</v>
      </c>
      <c r="E2">
        <v>7</v>
      </c>
      <c r="F2" t="s">
        <v>875</v>
      </c>
    </row>
    <row r="3" spans="1:6" x14ac:dyDescent="0.3">
      <c r="A3">
        <v>2</v>
      </c>
      <c r="B3">
        <v>4</v>
      </c>
      <c r="C3" t="s">
        <v>876</v>
      </c>
      <c r="D3" t="s">
        <v>877</v>
      </c>
      <c r="E3">
        <v>10</v>
      </c>
      <c r="F3" t="s">
        <v>878</v>
      </c>
    </row>
    <row r="4" spans="1:6" x14ac:dyDescent="0.3">
      <c r="A4">
        <v>3</v>
      </c>
      <c r="B4">
        <v>4</v>
      </c>
      <c r="C4" t="s">
        <v>879</v>
      </c>
      <c r="D4" t="s">
        <v>880</v>
      </c>
      <c r="E4">
        <v>5</v>
      </c>
      <c r="F4" t="s">
        <v>881</v>
      </c>
    </row>
    <row r="5" spans="1:6" x14ac:dyDescent="0.3">
      <c r="A5">
        <v>4</v>
      </c>
      <c r="B5">
        <v>5</v>
      </c>
      <c r="C5" t="s">
        <v>882</v>
      </c>
      <c r="D5" t="s">
        <v>883</v>
      </c>
      <c r="E5">
        <v>7</v>
      </c>
      <c r="F5" t="s">
        <v>884</v>
      </c>
    </row>
    <row r="6" spans="1:6" x14ac:dyDescent="0.3">
      <c r="A6">
        <v>5</v>
      </c>
      <c r="B6">
        <v>5</v>
      </c>
      <c r="C6" t="s">
        <v>879</v>
      </c>
      <c r="D6" t="s">
        <v>880</v>
      </c>
      <c r="E6">
        <v>5</v>
      </c>
      <c r="F6" t="s">
        <v>885</v>
      </c>
    </row>
    <row r="7" spans="1:6" x14ac:dyDescent="0.3">
      <c r="A7">
        <v>6</v>
      </c>
      <c r="B7">
        <v>6</v>
      </c>
      <c r="C7" t="s">
        <v>886</v>
      </c>
      <c r="D7" t="s">
        <v>880</v>
      </c>
      <c r="E7">
        <v>14</v>
      </c>
      <c r="F7" t="s">
        <v>887</v>
      </c>
    </row>
    <row r="8" spans="1:6" x14ac:dyDescent="0.3">
      <c r="A8">
        <v>7</v>
      </c>
      <c r="B8">
        <v>7</v>
      </c>
      <c r="C8" t="s">
        <v>888</v>
      </c>
      <c r="D8" t="s">
        <v>877</v>
      </c>
      <c r="E8">
        <v>10</v>
      </c>
      <c r="F8" t="s">
        <v>889</v>
      </c>
    </row>
    <row r="9" spans="1:6" x14ac:dyDescent="0.3">
      <c r="A9">
        <v>8</v>
      </c>
      <c r="B9">
        <v>8</v>
      </c>
      <c r="C9" t="s">
        <v>890</v>
      </c>
      <c r="D9" t="s">
        <v>891</v>
      </c>
      <c r="E9">
        <v>3</v>
      </c>
      <c r="F9" t="s">
        <v>892</v>
      </c>
    </row>
    <row r="10" spans="1:6" x14ac:dyDescent="0.3">
      <c r="A10">
        <v>9</v>
      </c>
      <c r="B10">
        <v>9</v>
      </c>
      <c r="C10" t="s">
        <v>893</v>
      </c>
      <c r="D10" t="s">
        <v>894</v>
      </c>
      <c r="E10">
        <v>14</v>
      </c>
      <c r="F10" t="s">
        <v>895</v>
      </c>
    </row>
    <row r="11" spans="1:6" x14ac:dyDescent="0.3">
      <c r="A11">
        <v>10</v>
      </c>
      <c r="B11">
        <v>9</v>
      </c>
      <c r="C11" t="s">
        <v>896</v>
      </c>
      <c r="D11" t="s">
        <v>897</v>
      </c>
      <c r="E11">
        <v>14</v>
      </c>
      <c r="F11" t="s">
        <v>898</v>
      </c>
    </row>
    <row r="12" spans="1:6" x14ac:dyDescent="0.3">
      <c r="A12">
        <v>11</v>
      </c>
      <c r="B12">
        <v>10</v>
      </c>
      <c r="C12" t="s">
        <v>899</v>
      </c>
      <c r="D12" t="s">
        <v>880</v>
      </c>
      <c r="E12">
        <v>7</v>
      </c>
      <c r="F12" t="s">
        <v>900</v>
      </c>
    </row>
    <row r="13" spans="1:6" x14ac:dyDescent="0.3">
      <c r="A13">
        <v>12</v>
      </c>
      <c r="B13">
        <v>10</v>
      </c>
      <c r="C13" t="s">
        <v>901</v>
      </c>
      <c r="D13" t="s">
        <v>877</v>
      </c>
      <c r="E13">
        <v>5</v>
      </c>
      <c r="F13" t="s">
        <v>902</v>
      </c>
    </row>
    <row r="14" spans="1:6" x14ac:dyDescent="0.3">
      <c r="A14">
        <v>13</v>
      </c>
      <c r="B14">
        <v>11</v>
      </c>
      <c r="C14" t="s">
        <v>903</v>
      </c>
      <c r="D14" t="s">
        <v>877</v>
      </c>
      <c r="E14">
        <v>7</v>
      </c>
      <c r="F14" t="s">
        <v>904</v>
      </c>
    </row>
    <row r="15" spans="1:6" x14ac:dyDescent="0.3">
      <c r="A15">
        <v>14</v>
      </c>
      <c r="B15">
        <v>11</v>
      </c>
      <c r="C15" t="s">
        <v>905</v>
      </c>
      <c r="D15" t="s">
        <v>880</v>
      </c>
      <c r="E15">
        <v>5</v>
      </c>
      <c r="F15" t="s">
        <v>906</v>
      </c>
    </row>
    <row r="16" spans="1:6" x14ac:dyDescent="0.3">
      <c r="A16">
        <v>15</v>
      </c>
      <c r="B16">
        <v>14</v>
      </c>
      <c r="C16" t="s">
        <v>907</v>
      </c>
      <c r="D16" t="s">
        <v>908</v>
      </c>
      <c r="E16">
        <v>30</v>
      </c>
      <c r="F16" t="s">
        <v>909</v>
      </c>
    </row>
    <row r="17" spans="1:6" x14ac:dyDescent="0.3">
      <c r="A17">
        <v>16</v>
      </c>
      <c r="B17">
        <v>17</v>
      </c>
      <c r="C17" t="s">
        <v>910</v>
      </c>
      <c r="D17" t="s">
        <v>911</v>
      </c>
      <c r="E17">
        <v>21</v>
      </c>
      <c r="F17" t="s">
        <v>912</v>
      </c>
    </row>
    <row r="18" spans="1:6" x14ac:dyDescent="0.3">
      <c r="A18">
        <v>17</v>
      </c>
      <c r="B18">
        <v>17</v>
      </c>
      <c r="C18" t="s">
        <v>896</v>
      </c>
      <c r="D18" t="s">
        <v>913</v>
      </c>
      <c r="E18">
        <v>21</v>
      </c>
      <c r="F18" t="s">
        <v>914</v>
      </c>
    </row>
    <row r="19" spans="1:6" x14ac:dyDescent="0.3">
      <c r="A19">
        <v>18</v>
      </c>
      <c r="B19">
        <v>19</v>
      </c>
      <c r="C19" t="s">
        <v>915</v>
      </c>
      <c r="D19" t="s">
        <v>880</v>
      </c>
      <c r="E19">
        <v>7</v>
      </c>
      <c r="F19" t="s">
        <v>916</v>
      </c>
    </row>
    <row r="20" spans="1:6" x14ac:dyDescent="0.3">
      <c r="A20">
        <v>19</v>
      </c>
      <c r="B20">
        <v>22</v>
      </c>
      <c r="C20" t="s">
        <v>917</v>
      </c>
      <c r="D20" t="s">
        <v>877</v>
      </c>
      <c r="E20">
        <v>30</v>
      </c>
      <c r="F20" t="s">
        <v>918</v>
      </c>
    </row>
    <row r="21" spans="1:6" x14ac:dyDescent="0.3">
      <c r="A21">
        <v>20</v>
      </c>
      <c r="B21">
        <v>22</v>
      </c>
      <c r="C21" t="s">
        <v>919</v>
      </c>
      <c r="D21" t="s">
        <v>880</v>
      </c>
      <c r="E21">
        <v>30</v>
      </c>
      <c r="F21" t="s">
        <v>920</v>
      </c>
    </row>
    <row r="22" spans="1:6" x14ac:dyDescent="0.3">
      <c r="A22">
        <v>21</v>
      </c>
      <c r="B22">
        <v>25</v>
      </c>
      <c r="C22" t="s">
        <v>921</v>
      </c>
      <c r="D22" t="s">
        <v>913</v>
      </c>
      <c r="E22">
        <v>28</v>
      </c>
      <c r="F22" t="s">
        <v>922</v>
      </c>
    </row>
    <row r="23" spans="1:6" x14ac:dyDescent="0.3">
      <c r="A23">
        <v>22</v>
      </c>
      <c r="B23">
        <v>26</v>
      </c>
      <c r="C23" t="s">
        <v>923</v>
      </c>
      <c r="D23" t="s">
        <v>877</v>
      </c>
      <c r="E23">
        <v>7</v>
      </c>
      <c r="F23" t="s">
        <v>924</v>
      </c>
    </row>
    <row r="24" spans="1:6" x14ac:dyDescent="0.3">
      <c r="A24">
        <v>23</v>
      </c>
      <c r="B24">
        <v>26</v>
      </c>
      <c r="C24" t="s">
        <v>925</v>
      </c>
      <c r="D24" t="s">
        <v>880</v>
      </c>
      <c r="E24">
        <v>14</v>
      </c>
      <c r="F24" t="s">
        <v>926</v>
      </c>
    </row>
    <row r="25" spans="1:6" x14ac:dyDescent="0.3">
      <c r="A25">
        <v>24</v>
      </c>
      <c r="B25">
        <v>26</v>
      </c>
      <c r="C25" t="s">
        <v>905</v>
      </c>
      <c r="D25" t="s">
        <v>880</v>
      </c>
      <c r="E25">
        <v>5</v>
      </c>
      <c r="F25" t="s">
        <v>927</v>
      </c>
    </row>
    <row r="26" spans="1:6" x14ac:dyDescent="0.3">
      <c r="A26">
        <v>25</v>
      </c>
      <c r="B26">
        <v>27</v>
      </c>
      <c r="C26" t="s">
        <v>899</v>
      </c>
      <c r="D26" t="s">
        <v>880</v>
      </c>
      <c r="E26">
        <v>10</v>
      </c>
      <c r="F26" t="s">
        <v>928</v>
      </c>
    </row>
    <row r="27" spans="1:6" x14ac:dyDescent="0.3">
      <c r="A27">
        <v>26</v>
      </c>
      <c r="B27">
        <v>30</v>
      </c>
      <c r="C27" t="s">
        <v>929</v>
      </c>
      <c r="D27" t="s">
        <v>880</v>
      </c>
      <c r="E27">
        <v>30</v>
      </c>
      <c r="F27" t="s">
        <v>930</v>
      </c>
    </row>
    <row r="28" spans="1:6" x14ac:dyDescent="0.3">
      <c r="A28">
        <v>27</v>
      </c>
      <c r="B28">
        <v>30</v>
      </c>
      <c r="C28" t="s">
        <v>919</v>
      </c>
      <c r="D28" t="s">
        <v>877</v>
      </c>
      <c r="E28">
        <v>30</v>
      </c>
      <c r="F28" t="s">
        <v>931</v>
      </c>
    </row>
    <row r="29" spans="1:6" x14ac:dyDescent="0.3">
      <c r="A29">
        <v>28</v>
      </c>
      <c r="B29">
        <v>30</v>
      </c>
      <c r="C29" t="s">
        <v>932</v>
      </c>
      <c r="D29" t="s">
        <v>877</v>
      </c>
      <c r="E29">
        <v>30</v>
      </c>
      <c r="F29" t="s">
        <v>933</v>
      </c>
    </row>
    <row r="30" spans="1:6" x14ac:dyDescent="0.3">
      <c r="A30">
        <v>29</v>
      </c>
      <c r="B30">
        <v>31</v>
      </c>
      <c r="C30" t="s">
        <v>934</v>
      </c>
      <c r="D30" t="s">
        <v>877</v>
      </c>
      <c r="E30">
        <v>14</v>
      </c>
      <c r="F30" t="s">
        <v>935</v>
      </c>
    </row>
    <row r="31" spans="1:6" x14ac:dyDescent="0.3">
      <c r="A31">
        <v>30</v>
      </c>
      <c r="B31">
        <v>31</v>
      </c>
      <c r="C31" t="s">
        <v>936</v>
      </c>
      <c r="D31" t="s">
        <v>937</v>
      </c>
      <c r="E31">
        <v>1</v>
      </c>
      <c r="F31" t="s">
        <v>938</v>
      </c>
    </row>
    <row r="32" spans="1:6" x14ac:dyDescent="0.3">
      <c r="A32">
        <v>31</v>
      </c>
      <c r="B32">
        <v>32</v>
      </c>
      <c r="C32" t="s">
        <v>939</v>
      </c>
      <c r="D32" t="s">
        <v>877</v>
      </c>
      <c r="E32">
        <v>5</v>
      </c>
      <c r="F32" t="s">
        <v>940</v>
      </c>
    </row>
    <row r="33" spans="1:6" x14ac:dyDescent="0.3">
      <c r="A33">
        <v>32</v>
      </c>
      <c r="B33">
        <v>32</v>
      </c>
      <c r="C33" t="s">
        <v>905</v>
      </c>
      <c r="D33" t="s">
        <v>880</v>
      </c>
      <c r="E33">
        <v>3</v>
      </c>
      <c r="F33" t="s">
        <v>941</v>
      </c>
    </row>
    <row r="34" spans="1:6" x14ac:dyDescent="0.3">
      <c r="A34">
        <v>33</v>
      </c>
      <c r="B34">
        <v>35</v>
      </c>
      <c r="C34" t="s">
        <v>942</v>
      </c>
      <c r="D34" t="s">
        <v>877</v>
      </c>
      <c r="E34">
        <v>60</v>
      </c>
      <c r="F34" t="s">
        <v>943</v>
      </c>
    </row>
    <row r="35" spans="1:6" x14ac:dyDescent="0.3">
      <c r="A35">
        <v>34</v>
      </c>
      <c r="B35">
        <v>36</v>
      </c>
      <c r="C35" t="s">
        <v>944</v>
      </c>
      <c r="D35" t="s">
        <v>880</v>
      </c>
      <c r="E35">
        <v>28</v>
      </c>
      <c r="F35" t="s">
        <v>945</v>
      </c>
    </row>
    <row r="36" spans="1:6" x14ac:dyDescent="0.3">
      <c r="A36">
        <v>35</v>
      </c>
      <c r="B36">
        <v>36</v>
      </c>
      <c r="C36" t="s">
        <v>946</v>
      </c>
      <c r="D36" t="s">
        <v>877</v>
      </c>
      <c r="E36">
        <v>28</v>
      </c>
      <c r="F36" t="s">
        <v>947</v>
      </c>
    </row>
    <row r="37" spans="1:6" x14ac:dyDescent="0.3">
      <c r="A37">
        <v>36</v>
      </c>
      <c r="B37">
        <v>18</v>
      </c>
      <c r="C37" t="s">
        <v>948</v>
      </c>
      <c r="D37" t="s">
        <v>877</v>
      </c>
      <c r="E37">
        <v>7</v>
      </c>
      <c r="F37" t="s">
        <v>924</v>
      </c>
    </row>
    <row r="38" spans="1:6" x14ac:dyDescent="0.3">
      <c r="A38">
        <v>37</v>
      </c>
      <c r="B38">
        <v>18</v>
      </c>
      <c r="C38" t="s">
        <v>905</v>
      </c>
      <c r="D38" t="s">
        <v>880</v>
      </c>
      <c r="E38">
        <v>5</v>
      </c>
      <c r="F38" t="s">
        <v>927</v>
      </c>
    </row>
    <row r="39" spans="1:6" x14ac:dyDescent="0.3">
      <c r="A39">
        <v>38</v>
      </c>
      <c r="B39">
        <v>20</v>
      </c>
      <c r="C39" t="s">
        <v>949</v>
      </c>
      <c r="D39" t="s">
        <v>877</v>
      </c>
      <c r="E39">
        <v>7</v>
      </c>
      <c r="F39" t="s">
        <v>950</v>
      </c>
    </row>
    <row r="40" spans="1:6" x14ac:dyDescent="0.3">
      <c r="A40">
        <v>39</v>
      </c>
      <c r="B40">
        <v>20</v>
      </c>
      <c r="C40" t="s">
        <v>879</v>
      </c>
      <c r="D40" t="s">
        <v>880</v>
      </c>
      <c r="E40">
        <v>5</v>
      </c>
      <c r="F40" t="s">
        <v>951</v>
      </c>
    </row>
    <row r="41" spans="1:6" x14ac:dyDescent="0.3">
      <c r="A41">
        <v>40</v>
      </c>
      <c r="B41">
        <v>41</v>
      </c>
      <c r="C41" t="s">
        <v>952</v>
      </c>
      <c r="D41" t="s">
        <v>877</v>
      </c>
      <c r="E41">
        <v>5</v>
      </c>
      <c r="F41" t="s">
        <v>953</v>
      </c>
    </row>
    <row r="42" spans="1:6" x14ac:dyDescent="0.3">
      <c r="A42">
        <v>41</v>
      </c>
      <c r="B42">
        <v>41</v>
      </c>
      <c r="C42" t="s">
        <v>954</v>
      </c>
      <c r="D42" t="s">
        <v>880</v>
      </c>
      <c r="E42">
        <v>3</v>
      </c>
      <c r="F42" t="s">
        <v>955</v>
      </c>
    </row>
    <row r="43" spans="1:6" x14ac:dyDescent="0.3">
      <c r="A43">
        <v>42</v>
      </c>
      <c r="B43">
        <v>42</v>
      </c>
      <c r="C43" t="s">
        <v>956</v>
      </c>
      <c r="D43" t="s">
        <v>877</v>
      </c>
      <c r="E43">
        <v>10</v>
      </c>
      <c r="F43" t="s">
        <v>957</v>
      </c>
    </row>
    <row r="44" spans="1:6" x14ac:dyDescent="0.3">
      <c r="A44">
        <v>43</v>
      </c>
      <c r="B44">
        <v>43</v>
      </c>
      <c r="C44" t="s">
        <v>958</v>
      </c>
      <c r="D44" t="s">
        <v>880</v>
      </c>
      <c r="E44">
        <v>7</v>
      </c>
      <c r="F44" t="s">
        <v>959</v>
      </c>
    </row>
    <row r="45" spans="1:6" x14ac:dyDescent="0.3">
      <c r="A45">
        <v>44</v>
      </c>
      <c r="B45">
        <v>43</v>
      </c>
      <c r="C45" t="s">
        <v>960</v>
      </c>
      <c r="D45" t="s">
        <v>877</v>
      </c>
      <c r="E45">
        <v>5</v>
      </c>
      <c r="F45" t="s">
        <v>961</v>
      </c>
    </row>
    <row r="46" spans="1:6" x14ac:dyDescent="0.3">
      <c r="A46">
        <v>45</v>
      </c>
      <c r="B46">
        <v>46</v>
      </c>
      <c r="C46" t="s">
        <v>923</v>
      </c>
      <c r="D46" t="s">
        <v>877</v>
      </c>
      <c r="E46">
        <v>5</v>
      </c>
      <c r="F46" t="s">
        <v>962</v>
      </c>
    </row>
    <row r="47" spans="1:6" x14ac:dyDescent="0.3">
      <c r="A47">
        <v>46</v>
      </c>
      <c r="B47">
        <v>50</v>
      </c>
      <c r="C47" t="s">
        <v>963</v>
      </c>
      <c r="D47" t="s">
        <v>877</v>
      </c>
      <c r="E47">
        <v>30</v>
      </c>
      <c r="F47" t="s">
        <v>964</v>
      </c>
    </row>
    <row r="48" spans="1:6" x14ac:dyDescent="0.3">
      <c r="A48">
        <v>47</v>
      </c>
      <c r="B48">
        <v>52</v>
      </c>
      <c r="C48" t="s">
        <v>939</v>
      </c>
      <c r="D48" t="s">
        <v>877</v>
      </c>
      <c r="E48">
        <v>10</v>
      </c>
      <c r="F48" t="s">
        <v>924</v>
      </c>
    </row>
    <row r="49" spans="1:6" x14ac:dyDescent="0.3">
      <c r="A49">
        <v>48</v>
      </c>
      <c r="B49">
        <v>52</v>
      </c>
      <c r="C49" t="s">
        <v>899</v>
      </c>
      <c r="D49" t="s">
        <v>880</v>
      </c>
      <c r="E49">
        <v>7</v>
      </c>
      <c r="F49" t="s">
        <v>941</v>
      </c>
    </row>
    <row r="50" spans="1:6" x14ac:dyDescent="0.3">
      <c r="A50">
        <v>49</v>
      </c>
      <c r="B50">
        <v>52</v>
      </c>
      <c r="C50" t="s">
        <v>965</v>
      </c>
      <c r="D50" t="s">
        <v>908</v>
      </c>
      <c r="E50">
        <v>60</v>
      </c>
      <c r="F50" t="s">
        <v>966</v>
      </c>
    </row>
    <row r="51" spans="1:6" x14ac:dyDescent="0.3">
      <c r="A51">
        <v>50</v>
      </c>
      <c r="B51">
        <v>55</v>
      </c>
      <c r="C51" t="s">
        <v>967</v>
      </c>
      <c r="D51" t="s">
        <v>877</v>
      </c>
      <c r="E51">
        <v>10</v>
      </c>
      <c r="F51" t="s">
        <v>968</v>
      </c>
    </row>
    <row r="52" spans="1:6" x14ac:dyDescent="0.3">
      <c r="A52">
        <v>51</v>
      </c>
      <c r="B52">
        <v>55</v>
      </c>
      <c r="C52" t="s">
        <v>905</v>
      </c>
      <c r="D52" t="s">
        <v>880</v>
      </c>
      <c r="E52">
        <v>5</v>
      </c>
      <c r="F52" t="s">
        <v>969</v>
      </c>
    </row>
    <row r="53" spans="1:6" x14ac:dyDescent="0.3">
      <c r="A53">
        <v>52</v>
      </c>
      <c r="B53">
        <v>57</v>
      </c>
      <c r="C53" t="s">
        <v>970</v>
      </c>
      <c r="D53" t="s">
        <v>880</v>
      </c>
      <c r="E53">
        <v>30</v>
      </c>
      <c r="F53" t="s">
        <v>971</v>
      </c>
    </row>
    <row r="54" spans="1:6" x14ac:dyDescent="0.3">
      <c r="A54">
        <v>53</v>
      </c>
      <c r="B54">
        <v>57</v>
      </c>
      <c r="C54" t="s">
        <v>919</v>
      </c>
      <c r="D54" t="s">
        <v>880</v>
      </c>
      <c r="E54">
        <v>30</v>
      </c>
      <c r="F54" t="s">
        <v>972</v>
      </c>
    </row>
    <row r="55" spans="1:6" x14ac:dyDescent="0.3">
      <c r="A55">
        <v>54</v>
      </c>
      <c r="B55">
        <v>49</v>
      </c>
      <c r="C55" t="s">
        <v>973</v>
      </c>
      <c r="D55" t="s">
        <v>974</v>
      </c>
      <c r="E55">
        <v>60</v>
      </c>
      <c r="F55" t="s">
        <v>975</v>
      </c>
    </row>
    <row r="56" spans="1:6" x14ac:dyDescent="0.3">
      <c r="A56">
        <v>55</v>
      </c>
      <c r="B56">
        <v>67</v>
      </c>
      <c r="C56" t="s">
        <v>976</v>
      </c>
      <c r="D56" t="s">
        <v>977</v>
      </c>
      <c r="E56">
        <v>1</v>
      </c>
      <c r="F56" t="s">
        <v>978</v>
      </c>
    </row>
    <row r="57" spans="1:6" x14ac:dyDescent="0.3">
      <c r="A57">
        <v>56</v>
      </c>
      <c r="B57">
        <v>74</v>
      </c>
      <c r="C57" t="s">
        <v>915</v>
      </c>
      <c r="D57" t="s">
        <v>880</v>
      </c>
      <c r="E57">
        <v>10</v>
      </c>
      <c r="F57" t="s">
        <v>979</v>
      </c>
    </row>
    <row r="58" spans="1:6" x14ac:dyDescent="0.3">
      <c r="A58">
        <v>57</v>
      </c>
      <c r="B58">
        <v>94</v>
      </c>
      <c r="C58" t="s">
        <v>963</v>
      </c>
      <c r="D58" t="s">
        <v>877</v>
      </c>
      <c r="E58">
        <v>30</v>
      </c>
      <c r="F58" t="s">
        <v>980</v>
      </c>
    </row>
    <row r="59" spans="1:6" x14ac:dyDescent="0.3">
      <c r="A59">
        <v>58</v>
      </c>
      <c r="B59">
        <v>76</v>
      </c>
      <c r="C59" t="s">
        <v>942</v>
      </c>
      <c r="D59" t="s">
        <v>880</v>
      </c>
      <c r="E59">
        <v>90</v>
      </c>
      <c r="F59" t="s">
        <v>981</v>
      </c>
    </row>
    <row r="60" spans="1:6" x14ac:dyDescent="0.3">
      <c r="A60">
        <v>59</v>
      </c>
      <c r="B60">
        <v>109</v>
      </c>
      <c r="C60" t="s">
        <v>982</v>
      </c>
      <c r="D60" t="s">
        <v>880</v>
      </c>
      <c r="E60">
        <v>30</v>
      </c>
      <c r="F60" t="s">
        <v>983</v>
      </c>
    </row>
    <row r="61" spans="1:6" x14ac:dyDescent="0.3">
      <c r="A61">
        <v>60</v>
      </c>
      <c r="B61">
        <v>109</v>
      </c>
      <c r="C61" t="s">
        <v>984</v>
      </c>
      <c r="D61" t="s">
        <v>880</v>
      </c>
      <c r="E61">
        <v>30</v>
      </c>
      <c r="F61" t="s">
        <v>985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sqref="A1:B9"/>
    </sheetView>
  </sheetViews>
  <sheetFormatPr defaultRowHeight="14.4" x14ac:dyDescent="0.3"/>
  <cols>
    <col min="1" max="1" width="18.5546875" customWidth="1"/>
    <col min="2" max="2" width="13.5546875" customWidth="1"/>
    <col min="6" max="6" width="15" customWidth="1"/>
  </cols>
  <sheetData>
    <row r="1" spans="1:2" x14ac:dyDescent="0.3">
      <c r="A1" s="18" t="s">
        <v>986</v>
      </c>
      <c r="B1" s="17"/>
    </row>
    <row r="2" spans="1:2" x14ac:dyDescent="0.3">
      <c r="A2" s="15" t="s">
        <v>987</v>
      </c>
      <c r="B2" s="15" t="s">
        <v>988</v>
      </c>
    </row>
    <row r="3" spans="1:2" x14ac:dyDescent="0.3">
      <c r="A3" s="14" t="s">
        <v>994</v>
      </c>
      <c r="B3" s="15">
        <f xml:space="preserve"> COUNT(Treatments!A:A)</f>
        <v>147</v>
      </c>
    </row>
    <row r="4" spans="1:2" x14ac:dyDescent="0.3">
      <c r="A4" s="14" t="s">
        <v>989</v>
      </c>
      <c r="B4" s="15">
        <f xml:space="preserve"> COUNT(Pets!A:A)</f>
        <v>78</v>
      </c>
    </row>
    <row r="5" spans="1:2" x14ac:dyDescent="0.3">
      <c r="A5" s="14" t="s">
        <v>990</v>
      </c>
      <c r="B5" s="15">
        <f>SUM(Treatments!F:F)</f>
        <v>5505</v>
      </c>
    </row>
    <row r="6" spans="1:2" x14ac:dyDescent="0.3">
      <c r="A6" s="14" t="s">
        <v>991</v>
      </c>
      <c r="B6" s="15">
        <f>AVERAGE(Treatments!F:F)</f>
        <v>37.448979591836732</v>
      </c>
    </row>
    <row r="7" spans="1:2" x14ac:dyDescent="0.3">
      <c r="A7" s="14" t="s">
        <v>993</v>
      </c>
      <c r="B7" s="15">
        <f>MAX(Treatments!F:F)</f>
        <v>180</v>
      </c>
    </row>
    <row r="8" spans="1:2" x14ac:dyDescent="0.3">
      <c r="A8" s="14" t="s">
        <v>992</v>
      </c>
      <c r="B8" s="15">
        <f>MIN(Treatments!F:F)</f>
        <v>15</v>
      </c>
    </row>
    <row r="9" spans="1:2" x14ac:dyDescent="0.3">
      <c r="A9" t="s">
        <v>995</v>
      </c>
      <c r="B9" s="15">
        <f>COUNTIF(Visits!G:G,"anulowana")</f>
        <v>7</v>
      </c>
    </row>
  </sheetData>
  <mergeCells count="1">
    <mergeCell ref="A1:B1"/>
  </mergeCells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tabSelected="1" zoomScaleNormal="100" workbookViewId="0">
      <selection activeCell="J7" sqref="J7"/>
    </sheetView>
  </sheetViews>
  <sheetFormatPr defaultRowHeight="14.4" x14ac:dyDescent="0.3"/>
  <cols>
    <col min="1" max="1" width="17.109375" customWidth="1"/>
    <col min="2" max="2" width="10.77734375" customWidth="1"/>
    <col min="3" max="3" width="23" bestFit="1" customWidth="1"/>
    <col min="4" max="4" width="18.21875" bestFit="1" customWidth="1"/>
    <col min="6" max="6" width="14" customWidth="1"/>
    <col min="7" max="7" width="20.33203125" customWidth="1"/>
    <col min="8" max="9" width="10.88671875" style="19" customWidth="1"/>
    <col min="10" max="10" width="16.109375" customWidth="1"/>
    <col min="11" max="11" width="16.44140625" customWidth="1"/>
    <col min="12" max="12" width="14.44140625" customWidth="1"/>
    <col min="13" max="13" width="9.5546875" customWidth="1"/>
    <col min="14" max="14" width="9.109375" customWidth="1"/>
    <col min="15" max="15" width="18.44140625" customWidth="1"/>
    <col min="16" max="16" width="4.77734375" customWidth="1"/>
    <col min="17" max="17" width="14.44140625" customWidth="1"/>
    <col min="18" max="18" width="3" customWidth="1"/>
    <col min="19" max="19" width="4" customWidth="1"/>
    <col min="20" max="20" width="5" customWidth="1"/>
    <col min="21" max="21" width="3" customWidth="1"/>
    <col min="22" max="22" width="5" customWidth="1"/>
    <col min="23" max="23" width="3" customWidth="1"/>
    <col min="24" max="24" width="4" customWidth="1"/>
    <col min="25" max="25" width="6" customWidth="1"/>
    <col min="26" max="26" width="3" customWidth="1"/>
    <col min="27" max="27" width="5" customWidth="1"/>
    <col min="28" max="28" width="3" customWidth="1"/>
    <col min="29" max="30" width="4" customWidth="1"/>
    <col min="31" max="32" width="6" customWidth="1"/>
    <col min="33" max="33" width="3" customWidth="1"/>
    <col min="34" max="34" width="6" customWidth="1"/>
    <col min="35" max="37" width="3" customWidth="1"/>
    <col min="38" max="38" width="4" customWidth="1"/>
    <col min="39" max="40" width="3" customWidth="1"/>
    <col min="41" max="41" width="5" customWidth="1"/>
    <col min="42" max="42" width="4" customWidth="1"/>
    <col min="43" max="43" width="5" customWidth="1"/>
    <col min="44" max="45" width="3" customWidth="1"/>
    <col min="46" max="46" width="6" customWidth="1"/>
    <col min="47" max="47" width="3" customWidth="1"/>
    <col min="48" max="48" width="6" customWidth="1"/>
    <col min="49" max="49" width="3" customWidth="1"/>
    <col min="50" max="51" width="4" customWidth="1"/>
    <col min="52" max="52" width="3" customWidth="1"/>
    <col min="53" max="53" width="5" customWidth="1"/>
    <col min="54" max="54" width="12" bestFit="1" customWidth="1"/>
    <col min="55" max="55" width="6" customWidth="1"/>
    <col min="56" max="56" width="4" customWidth="1"/>
    <col min="57" max="60" width="3" customWidth="1"/>
    <col min="61" max="61" width="5" customWidth="1"/>
    <col min="62" max="62" width="3" customWidth="1"/>
    <col min="63" max="63" width="5" customWidth="1"/>
    <col min="64" max="64" width="3" customWidth="1"/>
    <col min="65" max="65" width="4" customWidth="1"/>
    <col min="66" max="66" width="5" customWidth="1"/>
    <col min="67" max="67" width="4" customWidth="1"/>
    <col min="68" max="69" width="3" customWidth="1"/>
    <col min="70" max="70" width="12" bestFit="1" customWidth="1"/>
    <col min="71" max="73" width="3" customWidth="1"/>
    <col min="74" max="76" width="4" customWidth="1"/>
    <col min="77" max="79" width="3" customWidth="1"/>
    <col min="80" max="80" width="12" bestFit="1" customWidth="1"/>
    <col min="81" max="81" width="5" customWidth="1"/>
    <col min="82" max="84" width="3" customWidth="1"/>
    <col min="85" max="85" width="16.109375" bestFit="1" customWidth="1"/>
    <col min="86" max="93" width="2" customWidth="1"/>
    <col min="94" max="160" width="3" customWidth="1"/>
    <col min="161" max="161" width="19.21875" bestFit="1" customWidth="1"/>
    <col min="162" max="162" width="22.88671875" bestFit="1" customWidth="1"/>
  </cols>
  <sheetData>
    <row r="1" spans="1:17" x14ac:dyDescent="0.3">
      <c r="K1" s="4" t="s">
        <v>190</v>
      </c>
      <c r="L1" t="s">
        <v>1043</v>
      </c>
    </row>
    <row r="2" spans="1:17" x14ac:dyDescent="0.3">
      <c r="K2" s="20" t="s">
        <v>1038</v>
      </c>
      <c r="L2" s="20"/>
      <c r="M2" s="20"/>
      <c r="O2" s="20" t="s">
        <v>1037</v>
      </c>
      <c r="P2" s="20"/>
      <c r="Q2" s="20"/>
    </row>
    <row r="3" spans="1:17" x14ac:dyDescent="0.3">
      <c r="A3" s="4" t="s">
        <v>996</v>
      </c>
      <c r="B3" t="s">
        <v>997</v>
      </c>
      <c r="C3" t="s">
        <v>1009</v>
      </c>
      <c r="D3" t="s">
        <v>991</v>
      </c>
      <c r="F3" s="4" t="s">
        <v>1022</v>
      </c>
      <c r="G3" t="s">
        <v>1023</v>
      </c>
      <c r="H3" s="19" t="s">
        <v>1044</v>
      </c>
      <c r="K3" s="4" t="s">
        <v>1039</v>
      </c>
      <c r="L3" t="s">
        <v>1040</v>
      </c>
      <c r="M3" t="s">
        <v>1041</v>
      </c>
      <c r="O3" s="4" t="s">
        <v>1042</v>
      </c>
      <c r="P3" t="s">
        <v>1021</v>
      </c>
      <c r="Q3" s="19" t="s">
        <v>1040</v>
      </c>
    </row>
    <row r="4" spans="1:17" x14ac:dyDescent="0.3">
      <c r="A4" s="10" t="s">
        <v>1005</v>
      </c>
      <c r="B4" s="3">
        <v>31</v>
      </c>
      <c r="C4" s="11">
        <v>4175</v>
      </c>
      <c r="D4" s="11">
        <v>134.67741935483872</v>
      </c>
      <c r="F4" s="14" t="s">
        <v>211</v>
      </c>
      <c r="G4" s="3">
        <v>112.72727272727273</v>
      </c>
      <c r="H4" s="19">
        <v>1240</v>
      </c>
      <c r="K4" s="14" t="s">
        <v>308</v>
      </c>
      <c r="L4" s="3">
        <v>335</v>
      </c>
      <c r="M4" s="3">
        <v>3</v>
      </c>
      <c r="O4" s="14" t="s">
        <v>1027</v>
      </c>
      <c r="P4" s="3">
        <v>18</v>
      </c>
      <c r="Q4" s="19">
        <v>1075</v>
      </c>
    </row>
    <row r="5" spans="1:17" x14ac:dyDescent="0.3">
      <c r="A5" s="10" t="s">
        <v>1006</v>
      </c>
      <c r="B5" s="3">
        <v>27</v>
      </c>
      <c r="C5" s="11">
        <v>2130</v>
      </c>
      <c r="D5" s="11">
        <v>78.888888888888886</v>
      </c>
      <c r="F5" s="14" t="s">
        <v>201</v>
      </c>
      <c r="G5" s="3">
        <v>91.82692307692308</v>
      </c>
      <c r="H5" s="19">
        <v>4775</v>
      </c>
      <c r="K5" s="14" t="s">
        <v>360</v>
      </c>
      <c r="L5" s="3">
        <v>1250</v>
      </c>
      <c r="M5" s="3">
        <v>2</v>
      </c>
      <c r="O5" s="14" t="s">
        <v>1028</v>
      </c>
      <c r="P5" s="3">
        <v>16</v>
      </c>
      <c r="Q5" s="19">
        <v>4405</v>
      </c>
    </row>
    <row r="6" spans="1:17" x14ac:dyDescent="0.3">
      <c r="A6" s="10" t="s">
        <v>1007</v>
      </c>
      <c r="B6" s="3">
        <v>25</v>
      </c>
      <c r="C6" s="11">
        <v>3260</v>
      </c>
      <c r="D6" s="11">
        <v>130.4</v>
      </c>
      <c r="F6" s="14" t="s">
        <v>238</v>
      </c>
      <c r="G6" s="3">
        <v>191.66666666666666</v>
      </c>
      <c r="H6" s="19">
        <v>1150</v>
      </c>
      <c r="K6" s="14" t="s">
        <v>278</v>
      </c>
      <c r="L6" s="3">
        <v>290</v>
      </c>
      <c r="M6" s="3">
        <v>2</v>
      </c>
      <c r="O6" s="14" t="s">
        <v>1029</v>
      </c>
      <c r="P6" s="3">
        <v>24</v>
      </c>
      <c r="Q6" s="19">
        <v>1705</v>
      </c>
    </row>
    <row r="7" spans="1:17" x14ac:dyDescent="0.3">
      <c r="A7" s="10" t="s">
        <v>1003</v>
      </c>
      <c r="B7" s="3">
        <v>25</v>
      </c>
      <c r="C7" s="11">
        <v>2170</v>
      </c>
      <c r="D7" s="11">
        <v>86.8</v>
      </c>
      <c r="F7" s="14" t="s">
        <v>274</v>
      </c>
      <c r="G7" s="3">
        <v>90</v>
      </c>
      <c r="H7" s="19">
        <v>630</v>
      </c>
      <c r="K7" s="14" t="s">
        <v>251</v>
      </c>
      <c r="L7" s="3">
        <v>485</v>
      </c>
      <c r="M7" s="3">
        <v>2</v>
      </c>
      <c r="O7" s="14" t="s">
        <v>1030</v>
      </c>
      <c r="P7" s="3">
        <v>15</v>
      </c>
      <c r="Q7" s="19">
        <v>1625</v>
      </c>
    </row>
    <row r="8" spans="1:17" x14ac:dyDescent="0.3">
      <c r="A8" s="10" t="s">
        <v>1002</v>
      </c>
      <c r="B8" s="3">
        <v>20</v>
      </c>
      <c r="C8" s="11">
        <v>1410</v>
      </c>
      <c r="D8" s="11">
        <v>70.5</v>
      </c>
      <c r="F8" s="14" t="s">
        <v>196</v>
      </c>
      <c r="G8" s="3">
        <v>103.38028169014085</v>
      </c>
      <c r="H8" s="19">
        <v>7340</v>
      </c>
      <c r="K8" s="14" t="s">
        <v>298</v>
      </c>
      <c r="L8" s="3">
        <v>940</v>
      </c>
      <c r="M8" s="3">
        <v>2</v>
      </c>
      <c r="O8" s="14" t="s">
        <v>1031</v>
      </c>
      <c r="P8" s="3">
        <v>1</v>
      </c>
      <c r="Q8" s="19">
        <v>45</v>
      </c>
    </row>
    <row r="9" spans="1:17" x14ac:dyDescent="0.3">
      <c r="A9" s="10" t="s">
        <v>1004</v>
      </c>
      <c r="B9" s="3">
        <v>19</v>
      </c>
      <c r="C9" s="11">
        <v>1990</v>
      </c>
      <c r="D9" s="11">
        <v>104.73684210526316</v>
      </c>
      <c r="F9" s="14" t="s">
        <v>1001</v>
      </c>
      <c r="G9" s="3">
        <v>102.95918367346938</v>
      </c>
      <c r="H9" s="19">
        <v>15135</v>
      </c>
      <c r="K9" s="14" t="s">
        <v>314</v>
      </c>
      <c r="L9" s="3">
        <v>360</v>
      </c>
      <c r="M9" s="3">
        <v>2</v>
      </c>
      <c r="O9" s="14" t="s">
        <v>1032</v>
      </c>
      <c r="P9" s="3">
        <v>18</v>
      </c>
      <c r="Q9" s="19">
        <v>2420</v>
      </c>
    </row>
    <row r="10" spans="1:17" x14ac:dyDescent="0.3">
      <c r="A10" s="10" t="s">
        <v>1001</v>
      </c>
      <c r="B10" s="3">
        <v>147</v>
      </c>
      <c r="C10" s="11">
        <v>15135</v>
      </c>
      <c r="D10" s="11">
        <v>102.95918367346938</v>
      </c>
      <c r="K10" s="14" t="s">
        <v>294</v>
      </c>
      <c r="L10" s="3">
        <v>325</v>
      </c>
      <c r="M10" s="3">
        <v>2</v>
      </c>
      <c r="O10" s="14" t="s">
        <v>1033</v>
      </c>
      <c r="P10" s="3">
        <v>11</v>
      </c>
      <c r="Q10" s="19">
        <v>470</v>
      </c>
    </row>
    <row r="11" spans="1:17" x14ac:dyDescent="0.3">
      <c r="K11" s="14" t="s">
        <v>235</v>
      </c>
      <c r="L11" s="3">
        <v>415</v>
      </c>
      <c r="M11" s="3">
        <v>2</v>
      </c>
      <c r="O11" s="14" t="s">
        <v>1034</v>
      </c>
      <c r="P11" s="3">
        <v>6</v>
      </c>
      <c r="Q11" s="19">
        <v>205</v>
      </c>
    </row>
    <row r="12" spans="1:17" x14ac:dyDescent="0.3">
      <c r="K12" s="14" t="s">
        <v>267</v>
      </c>
      <c r="L12" s="3">
        <v>390</v>
      </c>
      <c r="M12" s="3">
        <v>2</v>
      </c>
      <c r="O12" s="14" t="s">
        <v>1035</v>
      </c>
      <c r="P12" s="3">
        <v>22</v>
      </c>
      <c r="Q12" s="19">
        <v>2215</v>
      </c>
    </row>
    <row r="13" spans="1:17" x14ac:dyDescent="0.3">
      <c r="K13" s="14" t="s">
        <v>340</v>
      </c>
      <c r="L13" s="3">
        <v>380</v>
      </c>
      <c r="M13" s="3">
        <v>2</v>
      </c>
      <c r="O13" s="14" t="s">
        <v>1036</v>
      </c>
      <c r="P13" s="3">
        <v>16</v>
      </c>
      <c r="Q13" s="19">
        <v>970</v>
      </c>
    </row>
    <row r="14" spans="1:17" x14ac:dyDescent="0.3">
      <c r="A14" s="10"/>
      <c r="B14" s="3"/>
      <c r="K14" s="14" t="s">
        <v>1001</v>
      </c>
      <c r="L14" s="3">
        <v>5170</v>
      </c>
      <c r="M14" s="3">
        <v>21</v>
      </c>
      <c r="O14" s="14" t="s">
        <v>1001</v>
      </c>
      <c r="P14" s="3">
        <v>147</v>
      </c>
      <c r="Q14" s="19">
        <v>15135</v>
      </c>
    </row>
    <row r="15" spans="1:17" x14ac:dyDescent="0.3">
      <c r="A15" s="10"/>
      <c r="B15" s="3"/>
    </row>
    <row r="16" spans="1:17" x14ac:dyDescent="0.3">
      <c r="A16" s="10"/>
      <c r="B16" s="3"/>
    </row>
    <row r="17" spans="1:2" x14ac:dyDescent="0.3">
      <c r="A17" s="10"/>
      <c r="B17" s="3"/>
    </row>
    <row r="18" spans="1:2" x14ac:dyDescent="0.3">
      <c r="A18" s="10"/>
      <c r="B18" s="3"/>
    </row>
    <row r="19" spans="1:2" x14ac:dyDescent="0.3">
      <c r="A19" s="10"/>
      <c r="B19" s="3"/>
    </row>
  </sheetData>
  <sortState columnSort="1" ref="M3:O14">
    <sortCondition descending="1" ref="O3"/>
  </sortState>
  <mergeCells count="2">
    <mergeCell ref="K2:M2"/>
    <mergeCell ref="O2:Q2"/>
  </mergeCells>
  <pageMargins left="0.7" right="0.7" top="0.75" bottom="0.75" header="0.3" footer="0.3"/>
  <pageSetup paperSize="9" orientation="portrait" horizontalDpi="4294967293" verticalDpi="0" r:id="rId5"/>
  <drawing r:id="rId6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49"/>
  <sheetViews>
    <sheetView workbookViewId="0">
      <selection activeCell="P3" sqref="P3"/>
    </sheetView>
  </sheetViews>
  <sheetFormatPr defaultRowHeight="14.4" x14ac:dyDescent="0.3"/>
  <cols>
    <col min="1" max="1" width="9.109375" bestFit="1" customWidth="1"/>
    <col min="2" max="2" width="8.44140625" bestFit="1" customWidth="1"/>
    <col min="3" max="3" width="17.77734375" customWidth="1"/>
    <col min="5" max="5" width="14.21875" bestFit="1" customWidth="1"/>
    <col min="9" max="9" width="9.109375" bestFit="1" customWidth="1"/>
    <col min="10" max="10" width="12.77734375" customWidth="1"/>
    <col min="13" max="13" width="11.109375" customWidth="1"/>
    <col min="14" max="14" width="10.6640625" customWidth="1"/>
  </cols>
  <sheetData>
    <row r="1" spans="1:16" x14ac:dyDescent="0.3">
      <c r="A1" t="s">
        <v>412</v>
      </c>
      <c r="B1" t="s">
        <v>385</v>
      </c>
      <c r="C1" t="s">
        <v>998</v>
      </c>
      <c r="D1" t="s">
        <v>601</v>
      </c>
      <c r="E1" t="s">
        <v>598</v>
      </c>
      <c r="H1" t="s">
        <v>412</v>
      </c>
      <c r="I1" t="s">
        <v>190</v>
      </c>
      <c r="J1" t="s">
        <v>601</v>
      </c>
      <c r="L1" s="16" t="s">
        <v>1024</v>
      </c>
      <c r="M1" s="16"/>
      <c r="N1" s="16"/>
      <c r="O1" s="16"/>
    </row>
    <row r="2" spans="1:16" x14ac:dyDescent="0.3">
      <c r="A2">
        <v>1</v>
      </c>
      <c r="B2">
        <v>5</v>
      </c>
      <c r="C2" t="str">
        <f>VLOOKUP(B2,Vets!A:G,7,FALSE)</f>
        <v>Paweł Mazur</v>
      </c>
      <c r="D2">
        <f>VLOOKUP(E2,Treatments!A:G,7,FALSE)</f>
        <v>50</v>
      </c>
      <c r="E2">
        <v>1</v>
      </c>
      <c r="H2" s="12">
        <v>1</v>
      </c>
      <c r="I2" t="str">
        <f>VLOOKUP(VLOOKUP(H2,Visits!A:B,2,FALSE),Pets!A:C,3,FALSE)</f>
        <v>pies</v>
      </c>
      <c r="J2">
        <f>VLOOKUP(H2,Treatments!B:G,6,FALSE)</f>
        <v>50</v>
      </c>
      <c r="L2" t="s">
        <v>412</v>
      </c>
      <c r="M2" t="s">
        <v>188</v>
      </c>
      <c r="N2" t="s">
        <v>1025</v>
      </c>
      <c r="O2" t="s">
        <v>601</v>
      </c>
      <c r="P2" t="s">
        <v>190</v>
      </c>
    </row>
    <row r="3" spans="1:16" x14ac:dyDescent="0.3">
      <c r="A3">
        <v>2</v>
      </c>
      <c r="B3">
        <v>2</v>
      </c>
      <c r="C3" t="str">
        <f>VLOOKUP(B3,Vets!A:G,7,FALSE)</f>
        <v>Ewa Lis</v>
      </c>
      <c r="D3">
        <f>VLOOKUP(E3,Treatments!A:G,7,FALSE)</f>
        <v>40</v>
      </c>
      <c r="E3">
        <v>2</v>
      </c>
      <c r="H3" s="13">
        <v>2</v>
      </c>
      <c r="I3" t="str">
        <f>VLOOKUP(VLOOKUP(H3,Visits!A:B,2,FALSE),Pets!A:C,3,FALSE)</f>
        <v>kot</v>
      </c>
      <c r="J3">
        <f>VLOOKUP(H3,Treatments!B:G,6,FALSE)</f>
        <v>40</v>
      </c>
      <c r="L3">
        <v>1</v>
      </c>
      <c r="M3">
        <v>1</v>
      </c>
      <c r="N3" t="str">
        <f>VLOOKUP(M3,Pets!A:B,2,FALSE)</f>
        <v>Rex</v>
      </c>
      <c r="O3">
        <f>IFERROR(VLOOKUP(L3,Treatments!B:G,6,FALSE),0)</f>
        <v>50</v>
      </c>
      <c r="P3" t="str">
        <f>VLOOKUP(M3,Pets!A:C,3,FALSE)</f>
        <v>pies</v>
      </c>
    </row>
    <row r="4" spans="1:16" x14ac:dyDescent="0.3">
      <c r="A4">
        <v>3</v>
      </c>
      <c r="B4">
        <v>1</v>
      </c>
      <c r="C4" t="str">
        <f>VLOOKUP(B4,Vets!A:G,7,FALSE)</f>
        <v>Marek Nowak</v>
      </c>
      <c r="D4">
        <f>VLOOKUP(E4,Treatments!A:G,7,FALSE)</f>
        <v>30</v>
      </c>
      <c r="E4">
        <v>3</v>
      </c>
      <c r="H4" s="12">
        <v>3</v>
      </c>
      <c r="I4" t="str">
        <f>VLOOKUP(VLOOKUP(H4,Visits!A:B,2,FALSE),Pets!A:C,3,FALSE)</f>
        <v>pies</v>
      </c>
      <c r="J4">
        <f>VLOOKUP(H4,Treatments!B:G,6,FALSE)</f>
        <v>30</v>
      </c>
      <c r="L4">
        <v>2</v>
      </c>
      <c r="M4">
        <v>2</v>
      </c>
      <c r="N4" t="str">
        <f>VLOOKUP(M4,Pets!A:B,2,FALSE)</f>
        <v>Mruczek</v>
      </c>
      <c r="O4">
        <f>IFERROR(VLOOKUP(L4,Treatments!B:G,6,FALSE),0)</f>
        <v>40</v>
      </c>
      <c r="P4" t="str">
        <f>VLOOKUP(M4,Pets!A:C,3,FALSE)</f>
        <v>kot</v>
      </c>
    </row>
    <row r="5" spans="1:16" x14ac:dyDescent="0.3">
      <c r="A5">
        <v>4</v>
      </c>
      <c r="B5">
        <v>3</v>
      </c>
      <c r="C5" t="str">
        <f>VLOOKUP(B5,Vets!A:G,7,FALSE)</f>
        <v>Tomasz Kaczmarek</v>
      </c>
      <c r="D5">
        <f>VLOOKUP(E5,Treatments!A:G,7,FALSE)</f>
        <v>90</v>
      </c>
      <c r="E5">
        <v>4</v>
      </c>
      <c r="H5" s="13">
        <v>4</v>
      </c>
      <c r="I5" t="str">
        <f>VLOOKUP(VLOOKUP(H5,Visits!A:B,2,FALSE),Pets!A:C,3,FALSE)</f>
        <v>kot</v>
      </c>
      <c r="J5">
        <f>VLOOKUP(H5,Treatments!B:G,6,FALSE)</f>
        <v>90</v>
      </c>
      <c r="L5">
        <v>3</v>
      </c>
      <c r="M5">
        <v>3</v>
      </c>
      <c r="N5" t="str">
        <f>VLOOKUP(M5,Pets!A:B,2,FALSE)</f>
        <v>Bella</v>
      </c>
      <c r="O5">
        <f>IFERROR(VLOOKUP(L5,Treatments!B:G,6,FALSE),0)</f>
        <v>30</v>
      </c>
      <c r="P5" t="str">
        <f>VLOOKUP(M5,Pets!A:C,3,FALSE)</f>
        <v>pies</v>
      </c>
    </row>
    <row r="6" spans="1:16" x14ac:dyDescent="0.3">
      <c r="A6">
        <v>5</v>
      </c>
      <c r="B6">
        <v>1</v>
      </c>
      <c r="C6" t="str">
        <f>VLOOKUP(B6,Vets!A:G,7,FALSE)</f>
        <v>Marek Nowak</v>
      </c>
      <c r="D6">
        <f>VLOOKUP(E6,Treatments!A:G,7,FALSE)</f>
        <v>150</v>
      </c>
      <c r="E6">
        <v>5</v>
      </c>
      <c r="H6" s="12">
        <v>5</v>
      </c>
      <c r="I6" t="str">
        <f>VLOOKUP(VLOOKUP(H6,Visits!A:B,2,FALSE),Pets!A:C,3,FALSE)</f>
        <v>chomik</v>
      </c>
      <c r="J6">
        <f>VLOOKUP(H6,Treatments!B:G,6,FALSE)</f>
        <v>150</v>
      </c>
      <c r="L6">
        <v>4</v>
      </c>
      <c r="M6">
        <v>4</v>
      </c>
      <c r="N6" t="str">
        <f>VLOOKUP(M6,Pets!A:B,2,FALSE)</f>
        <v>Kropka</v>
      </c>
      <c r="O6">
        <f>IFERROR(VLOOKUP(L6,Treatments!B:G,6,FALSE),0)</f>
        <v>90</v>
      </c>
      <c r="P6" t="str">
        <f>VLOOKUP(M6,Pets!A:C,3,FALSE)</f>
        <v>kot</v>
      </c>
    </row>
    <row r="7" spans="1:16" x14ac:dyDescent="0.3">
      <c r="A7">
        <v>7</v>
      </c>
      <c r="B7">
        <v>4</v>
      </c>
      <c r="C7" t="str">
        <f>VLOOKUP(B7,Vets!A:G,7,FALSE)</f>
        <v>Anna Wójcik</v>
      </c>
      <c r="D7">
        <f>VLOOKUP(E7,Treatments!A:G,7,FALSE)</f>
        <v>15</v>
      </c>
      <c r="E7">
        <v>6</v>
      </c>
      <c r="H7" s="13">
        <v>7</v>
      </c>
      <c r="I7" t="str">
        <f>VLOOKUP(VLOOKUP(H7,Visits!A:B,2,FALSE),Pets!A:C,3,FALSE)</f>
        <v>kot</v>
      </c>
      <c r="J7">
        <f>VLOOKUP(H7,Treatments!B:G,6,FALSE)</f>
        <v>15</v>
      </c>
      <c r="L7">
        <v>5</v>
      </c>
      <c r="M7">
        <v>5</v>
      </c>
      <c r="N7" t="str">
        <f>VLOOKUP(M7,Pets!A:B,2,FALSE)</f>
        <v>Kruszynka</v>
      </c>
      <c r="O7">
        <f>IFERROR(VLOOKUP(L7,Treatments!B:G,6,FALSE),0)</f>
        <v>150</v>
      </c>
      <c r="P7" t="str">
        <f>VLOOKUP(M7,Pets!A:C,3,FALSE)</f>
        <v>chomik</v>
      </c>
    </row>
    <row r="8" spans="1:16" x14ac:dyDescent="0.3">
      <c r="A8">
        <v>9</v>
      </c>
      <c r="B8">
        <v>3</v>
      </c>
      <c r="C8" t="str">
        <f>VLOOKUP(B8,Vets!A:G,7,FALSE)</f>
        <v>Tomasz Kaczmarek</v>
      </c>
      <c r="D8">
        <f>VLOOKUP(E8,Treatments!A:G,7,FALSE)</f>
        <v>110</v>
      </c>
      <c r="E8">
        <v>7</v>
      </c>
      <c r="H8" s="12">
        <v>9</v>
      </c>
      <c r="I8" t="str">
        <f>VLOOKUP(VLOOKUP(H8,Visits!A:B,2,FALSE),Pets!A:C,3,FALSE)</f>
        <v>pies</v>
      </c>
      <c r="J8">
        <f>VLOOKUP(H8,Treatments!B:G,6,FALSE)</f>
        <v>110</v>
      </c>
      <c r="L8">
        <v>7</v>
      </c>
      <c r="M8">
        <v>7</v>
      </c>
      <c r="N8" t="str">
        <f>VLOOKUP(M8,Pets!A:B,2,FALSE)</f>
        <v>Puszek</v>
      </c>
      <c r="O8">
        <f>IFERROR(VLOOKUP(L8,Treatments!B:G,6,FALSE),0)</f>
        <v>15</v>
      </c>
      <c r="P8" t="str">
        <f>VLOOKUP(M8,Pets!A:C,3,FALSE)</f>
        <v>kot</v>
      </c>
    </row>
    <row r="9" spans="1:16" x14ac:dyDescent="0.3">
      <c r="A9">
        <v>10</v>
      </c>
      <c r="B9">
        <v>1</v>
      </c>
      <c r="C9" t="str">
        <f>VLOOKUP(B9,Vets!A:G,7,FALSE)</f>
        <v>Marek Nowak</v>
      </c>
      <c r="D9">
        <f>VLOOKUP(E9,Treatments!A:G,7,FALSE)</f>
        <v>60</v>
      </c>
      <c r="E9">
        <v>8</v>
      </c>
      <c r="H9" s="13">
        <v>10</v>
      </c>
      <c r="I9" t="str">
        <f>VLOOKUP(VLOOKUP(H9,Visits!A:B,2,FALSE),Pets!A:C,3,FALSE)</f>
        <v>chomik</v>
      </c>
      <c r="J9">
        <f>VLOOKUP(H9,Treatments!B:G,6,FALSE)</f>
        <v>60</v>
      </c>
      <c r="L9">
        <v>9</v>
      </c>
      <c r="M9">
        <v>9</v>
      </c>
      <c r="N9" t="str">
        <f>VLOOKUP(M9,Pets!A:B,2,FALSE)</f>
        <v>Maks</v>
      </c>
      <c r="O9">
        <f>IFERROR(VLOOKUP(L9,Treatments!B:G,6,FALSE),0)</f>
        <v>110</v>
      </c>
      <c r="P9" t="str">
        <f>VLOOKUP(M9,Pets!A:C,3,FALSE)</f>
        <v>pies</v>
      </c>
    </row>
    <row r="10" spans="1:16" x14ac:dyDescent="0.3">
      <c r="A10">
        <v>11</v>
      </c>
      <c r="B10">
        <v>5</v>
      </c>
      <c r="C10" t="str">
        <f>VLOOKUP(B10,Vets!A:G,7,FALSE)</f>
        <v>Paweł Mazur</v>
      </c>
      <c r="D10">
        <f>VLOOKUP(E10,Treatments!A:G,7,FALSE)</f>
        <v>50</v>
      </c>
      <c r="E10">
        <v>9</v>
      </c>
      <c r="H10" s="12">
        <v>11</v>
      </c>
      <c r="I10" t="str">
        <f>VLOOKUP(VLOOKUP(H10,Visits!A:B,2,FALSE),Pets!A:C,3,FALSE)</f>
        <v>chomik</v>
      </c>
      <c r="J10">
        <f>VLOOKUP(H10,Treatments!B:G,6,FALSE)</f>
        <v>50</v>
      </c>
      <c r="L10">
        <v>10</v>
      </c>
      <c r="M10">
        <v>10</v>
      </c>
      <c r="N10" t="str">
        <f>VLOOKUP(M10,Pets!A:B,2,FALSE)</f>
        <v>Kulka</v>
      </c>
      <c r="O10">
        <f>IFERROR(VLOOKUP(L10,Treatments!B:G,6,FALSE),0)</f>
        <v>60</v>
      </c>
      <c r="P10" t="str">
        <f>VLOOKUP(M10,Pets!A:C,3,FALSE)</f>
        <v>chomik</v>
      </c>
    </row>
    <row r="11" spans="1:16" x14ac:dyDescent="0.3">
      <c r="A11">
        <v>12</v>
      </c>
      <c r="B11">
        <v>5</v>
      </c>
      <c r="C11" t="str">
        <f>VLOOKUP(B11,Vets!A:G,7,FALSE)</f>
        <v>Paweł Mazur</v>
      </c>
      <c r="D11">
        <f>VLOOKUP(E11,Treatments!A:G,7,FALSE)</f>
        <v>70</v>
      </c>
      <c r="E11">
        <v>10</v>
      </c>
      <c r="H11" s="13">
        <v>12</v>
      </c>
      <c r="I11" t="str">
        <f>VLOOKUP(VLOOKUP(H11,Visits!A:B,2,FALSE),Pets!A:C,3,FALSE)</f>
        <v>pies</v>
      </c>
      <c r="J11">
        <f>VLOOKUP(H11,Treatments!B:G,6,FALSE)</f>
        <v>70</v>
      </c>
      <c r="L11">
        <v>11</v>
      </c>
      <c r="M11">
        <v>11</v>
      </c>
      <c r="N11" t="str">
        <f>VLOOKUP(M11,Pets!A:B,2,FALSE)</f>
        <v>Pasztecik</v>
      </c>
      <c r="O11">
        <f>IFERROR(VLOOKUP(L11,Treatments!B:G,6,FALSE),0)</f>
        <v>50</v>
      </c>
      <c r="P11" t="str">
        <f>VLOOKUP(M11,Pets!A:C,3,FALSE)</f>
        <v>chomik</v>
      </c>
    </row>
    <row r="12" spans="1:16" x14ac:dyDescent="0.3">
      <c r="A12">
        <v>13</v>
      </c>
      <c r="B12">
        <v>1</v>
      </c>
      <c r="C12" t="str">
        <f>VLOOKUP(B12,Vets!A:G,7,FALSE)</f>
        <v>Marek Nowak</v>
      </c>
      <c r="D12">
        <f>VLOOKUP(E12,Treatments!A:G,7,FALSE)</f>
        <v>80</v>
      </c>
      <c r="E12">
        <v>11</v>
      </c>
      <c r="H12" s="12">
        <v>13</v>
      </c>
      <c r="I12" t="str">
        <f>VLOOKUP(VLOOKUP(H12,Visits!A:B,2,FALSE),Pets!A:C,3,FALSE)</f>
        <v>pies</v>
      </c>
      <c r="J12">
        <f>VLOOKUP(H12,Treatments!B:G,6,FALSE)</f>
        <v>80</v>
      </c>
      <c r="L12">
        <v>12</v>
      </c>
      <c r="M12">
        <v>12</v>
      </c>
      <c r="N12" t="str">
        <f>VLOOKUP(M12,Pets!A:B,2,FALSE)</f>
        <v>Azor</v>
      </c>
      <c r="O12">
        <f>IFERROR(VLOOKUP(L12,Treatments!B:G,6,FALSE),0)</f>
        <v>70</v>
      </c>
      <c r="P12" t="str">
        <f>VLOOKUP(M12,Pets!A:C,3,FALSE)</f>
        <v>pies</v>
      </c>
    </row>
    <row r="13" spans="1:16" x14ac:dyDescent="0.3">
      <c r="A13">
        <v>14</v>
      </c>
      <c r="B13">
        <v>3</v>
      </c>
      <c r="C13" t="str">
        <f>VLOOKUP(B13,Vets!A:G,7,FALSE)</f>
        <v>Tomasz Kaczmarek</v>
      </c>
      <c r="D13">
        <f>VLOOKUP(E13,Treatments!A:G,7,FALSE)</f>
        <v>90</v>
      </c>
      <c r="E13">
        <v>12</v>
      </c>
      <c r="H13" s="13">
        <v>14</v>
      </c>
      <c r="I13" t="str">
        <f>VLOOKUP(VLOOKUP(H13,Visits!A:B,2,FALSE),Pets!A:C,3,FALSE)</f>
        <v>kot</v>
      </c>
      <c r="J13">
        <f>VLOOKUP(H13,Treatments!B:G,6,FALSE)</f>
        <v>90</v>
      </c>
      <c r="L13">
        <v>13</v>
      </c>
      <c r="M13">
        <v>13</v>
      </c>
      <c r="N13" t="str">
        <f>VLOOKUP(M13,Pets!A:B,2,FALSE)</f>
        <v>Burek</v>
      </c>
      <c r="O13">
        <f>IFERROR(VLOOKUP(L13,Treatments!B:G,6,FALSE),0)</f>
        <v>80</v>
      </c>
      <c r="P13" t="str">
        <f>VLOOKUP(M13,Pets!A:C,3,FALSE)</f>
        <v>pies</v>
      </c>
    </row>
    <row r="14" spans="1:16" x14ac:dyDescent="0.3">
      <c r="A14">
        <v>15</v>
      </c>
      <c r="B14">
        <v>1</v>
      </c>
      <c r="C14" t="str">
        <f>VLOOKUP(B14,Vets!A:G,7,FALSE)</f>
        <v>Marek Nowak</v>
      </c>
      <c r="D14">
        <f>VLOOKUP(E14,Treatments!A:G,7,FALSE)</f>
        <v>85</v>
      </c>
      <c r="E14">
        <v>13</v>
      </c>
      <c r="H14" s="12">
        <v>15</v>
      </c>
      <c r="I14" t="str">
        <f>VLOOKUP(VLOOKUP(H14,Visits!A:B,2,FALSE),Pets!A:C,3,FALSE)</f>
        <v>pies</v>
      </c>
      <c r="J14">
        <f>VLOOKUP(H14,Treatments!B:G,6,FALSE)</f>
        <v>85</v>
      </c>
      <c r="L14">
        <v>14</v>
      </c>
      <c r="M14">
        <v>4</v>
      </c>
      <c r="N14" t="str">
        <f>VLOOKUP(M14,Pets!A:B,2,FALSE)</f>
        <v>Kropka</v>
      </c>
      <c r="O14">
        <f>IFERROR(VLOOKUP(L14,Treatments!B:G,6,FALSE),0)</f>
        <v>90</v>
      </c>
      <c r="P14" t="str">
        <f>VLOOKUP(M14,Pets!A:C,3,FALSE)</f>
        <v>kot</v>
      </c>
    </row>
    <row r="15" spans="1:16" x14ac:dyDescent="0.3">
      <c r="A15">
        <v>16</v>
      </c>
      <c r="B15">
        <v>1</v>
      </c>
      <c r="C15" t="str">
        <f>VLOOKUP(B15,Vets!A:G,7,FALSE)</f>
        <v>Marek Nowak</v>
      </c>
      <c r="D15">
        <f>VLOOKUP(E15,Treatments!A:G,7,FALSE)</f>
        <v>75</v>
      </c>
      <c r="E15">
        <v>14</v>
      </c>
      <c r="H15" s="13">
        <v>16</v>
      </c>
      <c r="I15" t="str">
        <f>VLOOKUP(VLOOKUP(H15,Visits!A:B,2,FALSE),Pets!A:C,3,FALSE)</f>
        <v>chomik</v>
      </c>
      <c r="J15">
        <f>VLOOKUP(H15,Treatments!B:G,6,FALSE)</f>
        <v>75</v>
      </c>
      <c r="L15">
        <v>15</v>
      </c>
      <c r="M15">
        <v>9</v>
      </c>
      <c r="N15" t="str">
        <f>VLOOKUP(M15,Pets!A:B,2,FALSE)</f>
        <v>Maks</v>
      </c>
      <c r="O15">
        <f>IFERROR(VLOOKUP(L15,Treatments!B:G,6,FALSE),0)</f>
        <v>85</v>
      </c>
      <c r="P15" t="str">
        <f>VLOOKUP(M15,Pets!A:C,3,FALSE)</f>
        <v>pies</v>
      </c>
    </row>
    <row r="16" spans="1:16" x14ac:dyDescent="0.3">
      <c r="A16">
        <v>17</v>
      </c>
      <c r="B16">
        <v>1</v>
      </c>
      <c r="C16" t="str">
        <f>VLOOKUP(B16,Vets!A:G,7,FALSE)</f>
        <v>Marek Nowak</v>
      </c>
      <c r="D16">
        <f>VLOOKUP(E16,Treatments!A:G,7,FALSE)</f>
        <v>55</v>
      </c>
      <c r="E16">
        <v>15</v>
      </c>
      <c r="H16" s="12">
        <v>17</v>
      </c>
      <c r="I16" t="str">
        <f>VLOOKUP(VLOOKUP(H16,Visits!A:B,2,FALSE),Pets!A:C,3,FALSE)</f>
        <v>kot</v>
      </c>
      <c r="J16">
        <f>VLOOKUP(H16,Treatments!B:G,6,FALSE)</f>
        <v>55</v>
      </c>
      <c r="L16">
        <v>16</v>
      </c>
      <c r="M16">
        <v>5</v>
      </c>
      <c r="N16" t="str">
        <f>VLOOKUP(M16,Pets!A:B,2,FALSE)</f>
        <v>Kruszynka</v>
      </c>
      <c r="O16">
        <f>IFERROR(VLOOKUP(L16,Treatments!B:G,6,FALSE),0)</f>
        <v>75</v>
      </c>
      <c r="P16" t="str">
        <f>VLOOKUP(M16,Pets!A:C,3,FALSE)</f>
        <v>chomik</v>
      </c>
    </row>
    <row r="17" spans="1:16" x14ac:dyDescent="0.3">
      <c r="A17">
        <v>18</v>
      </c>
      <c r="B17">
        <v>2</v>
      </c>
      <c r="C17" t="str">
        <f>VLOOKUP(B17,Vets!A:G,7,FALSE)</f>
        <v>Ewa Lis</v>
      </c>
      <c r="D17">
        <f>VLOOKUP(E17,Treatments!A:G,7,FALSE)</f>
        <v>80</v>
      </c>
      <c r="E17">
        <v>16</v>
      </c>
      <c r="H17" s="13">
        <v>18</v>
      </c>
      <c r="I17" t="str">
        <f>VLOOKUP(VLOOKUP(H17,Visits!A:B,2,FALSE),Pets!A:C,3,FALSE)</f>
        <v>kot</v>
      </c>
      <c r="J17">
        <f>VLOOKUP(H17,Treatments!B:G,6,FALSE)</f>
        <v>80</v>
      </c>
      <c r="L17">
        <v>17</v>
      </c>
      <c r="M17">
        <v>14</v>
      </c>
      <c r="N17" t="str">
        <f>VLOOKUP(M17,Pets!A:B,2,FALSE)</f>
        <v>Luna</v>
      </c>
      <c r="O17">
        <f>IFERROR(VLOOKUP(L17,Treatments!B:G,6,FALSE),0)</f>
        <v>55</v>
      </c>
      <c r="P17" t="str">
        <f>VLOOKUP(M17,Pets!A:C,3,FALSE)</f>
        <v>kot</v>
      </c>
    </row>
    <row r="18" spans="1:16" x14ac:dyDescent="0.3">
      <c r="A18">
        <v>19</v>
      </c>
      <c r="B18">
        <v>3</v>
      </c>
      <c r="C18" t="str">
        <f>VLOOKUP(B18,Vets!A:G,7,FALSE)</f>
        <v>Tomasz Kaczmarek</v>
      </c>
      <c r="D18">
        <f>VLOOKUP(E18,Treatments!A:G,7,FALSE)</f>
        <v>120</v>
      </c>
      <c r="E18">
        <v>17</v>
      </c>
      <c r="H18" s="12">
        <v>19</v>
      </c>
      <c r="I18" t="str">
        <f>VLOOKUP(VLOOKUP(H18,Visits!A:B,2,FALSE),Pets!A:C,3,FALSE)</f>
        <v>pies</v>
      </c>
      <c r="J18">
        <f>VLOOKUP(H18,Treatments!B:G,6,FALSE)</f>
        <v>120</v>
      </c>
      <c r="L18">
        <v>18</v>
      </c>
      <c r="M18">
        <v>15</v>
      </c>
      <c r="N18" t="str">
        <f>VLOOKUP(M18,Pets!A:B,2,FALSE)</f>
        <v>Tygrys</v>
      </c>
      <c r="O18">
        <f>IFERROR(VLOOKUP(L18,Treatments!B:G,6,FALSE),0)</f>
        <v>80</v>
      </c>
      <c r="P18" t="str">
        <f>VLOOKUP(M18,Pets!A:C,3,FALSE)</f>
        <v>kot</v>
      </c>
    </row>
    <row r="19" spans="1:16" x14ac:dyDescent="0.3">
      <c r="A19">
        <v>20</v>
      </c>
      <c r="B19">
        <v>1</v>
      </c>
      <c r="C19" t="str">
        <f>VLOOKUP(B19,Vets!A:G,7,FALSE)</f>
        <v>Marek Nowak</v>
      </c>
      <c r="D19">
        <f>VLOOKUP(E19,Treatments!A:G,7,FALSE)</f>
        <v>350</v>
      </c>
      <c r="E19">
        <v>18</v>
      </c>
      <c r="H19" s="13">
        <v>20</v>
      </c>
      <c r="I19" t="str">
        <f>VLOOKUP(VLOOKUP(H19,Visits!A:B,2,FALSE),Pets!A:C,3,FALSE)</f>
        <v>kot</v>
      </c>
      <c r="J19">
        <f>VLOOKUP(H19,Treatments!B:G,6,FALSE)</f>
        <v>350</v>
      </c>
      <c r="L19">
        <v>19</v>
      </c>
      <c r="M19">
        <v>16</v>
      </c>
      <c r="N19" t="str">
        <f>VLOOKUP(M19,Pets!A:B,2,FALSE)</f>
        <v>Zefir</v>
      </c>
      <c r="O19">
        <f>IFERROR(VLOOKUP(L19,Treatments!B:G,6,FALSE),0)</f>
        <v>120</v>
      </c>
      <c r="P19" t="str">
        <f>VLOOKUP(M19,Pets!A:C,3,FALSE)</f>
        <v>pies</v>
      </c>
    </row>
    <row r="20" spans="1:16" x14ac:dyDescent="0.3">
      <c r="A20">
        <v>21</v>
      </c>
      <c r="B20">
        <v>4</v>
      </c>
      <c r="C20" t="str">
        <f>VLOOKUP(B20,Vets!A:G,7,FALSE)</f>
        <v>Anna Wójcik</v>
      </c>
      <c r="D20">
        <f>VLOOKUP(E20,Treatments!A:G,7,FALSE)</f>
        <v>60</v>
      </c>
      <c r="E20">
        <v>19</v>
      </c>
      <c r="H20" s="12">
        <v>21</v>
      </c>
      <c r="I20" t="str">
        <f>VLOOKUP(VLOOKUP(H20,Visits!A:B,2,FALSE),Pets!A:C,3,FALSE)</f>
        <v>królik</v>
      </c>
      <c r="J20">
        <f>VLOOKUP(H20,Treatments!B:G,6,FALSE)</f>
        <v>60</v>
      </c>
      <c r="L20">
        <v>20</v>
      </c>
      <c r="M20">
        <v>17</v>
      </c>
      <c r="N20" t="str">
        <f>VLOOKUP(M20,Pets!A:B,2,FALSE)</f>
        <v>Loki</v>
      </c>
      <c r="O20">
        <f>IFERROR(VLOOKUP(L20,Treatments!B:G,6,FALSE),0)</f>
        <v>350</v>
      </c>
      <c r="P20" t="str">
        <f>VLOOKUP(M20,Pets!A:C,3,FALSE)</f>
        <v>kot</v>
      </c>
    </row>
    <row r="21" spans="1:16" x14ac:dyDescent="0.3">
      <c r="A21">
        <v>22</v>
      </c>
      <c r="B21">
        <v>5</v>
      </c>
      <c r="C21" t="str">
        <f>VLOOKUP(B21,Vets!A:G,7,FALSE)</f>
        <v>Paweł Mazur</v>
      </c>
      <c r="D21">
        <f>VLOOKUP(E21,Treatments!A:G,7,FALSE)</f>
        <v>50</v>
      </c>
      <c r="E21">
        <v>20</v>
      </c>
      <c r="H21" s="13">
        <v>22</v>
      </c>
      <c r="I21" t="str">
        <f>VLOOKUP(VLOOKUP(H21,Visits!A:B,2,FALSE),Pets!A:C,3,FALSE)</f>
        <v>pies</v>
      </c>
      <c r="J21">
        <f>VLOOKUP(H21,Treatments!B:G,6,FALSE)</f>
        <v>50</v>
      </c>
      <c r="L21">
        <v>21</v>
      </c>
      <c r="M21">
        <v>18</v>
      </c>
      <c r="N21" t="str">
        <f>VLOOKUP(M21,Pets!A:B,2,FALSE)</f>
        <v>Śnieżka</v>
      </c>
      <c r="O21">
        <f>IFERROR(VLOOKUP(L21,Treatments!B:G,6,FALSE),0)</f>
        <v>60</v>
      </c>
      <c r="P21" t="str">
        <f>VLOOKUP(M21,Pets!A:C,3,FALSE)</f>
        <v>królik</v>
      </c>
    </row>
    <row r="22" spans="1:16" x14ac:dyDescent="0.3">
      <c r="A22">
        <v>23</v>
      </c>
      <c r="B22">
        <v>2</v>
      </c>
      <c r="C22" t="str">
        <f>VLOOKUP(B22,Vets!A:G,7,FALSE)</f>
        <v>Ewa Lis</v>
      </c>
      <c r="D22">
        <f>VLOOKUP(E22,Treatments!A:G,7,FALSE)</f>
        <v>90</v>
      </c>
      <c r="E22">
        <v>21</v>
      </c>
      <c r="H22" s="12">
        <v>23</v>
      </c>
      <c r="I22" t="str">
        <f>VLOOKUP(VLOOKUP(H22,Visits!A:B,2,FALSE),Pets!A:C,3,FALSE)</f>
        <v>kot</v>
      </c>
      <c r="J22">
        <f>VLOOKUP(H22,Treatments!B:G,6,FALSE)</f>
        <v>90</v>
      </c>
      <c r="L22">
        <v>22</v>
      </c>
      <c r="M22">
        <v>19</v>
      </c>
      <c r="N22" t="str">
        <f>VLOOKUP(M22,Pets!A:B,2,FALSE)</f>
        <v>Hania</v>
      </c>
      <c r="O22">
        <f>IFERROR(VLOOKUP(L22,Treatments!B:G,6,FALSE),0)</f>
        <v>50</v>
      </c>
      <c r="P22" t="str">
        <f>VLOOKUP(M22,Pets!A:C,3,FALSE)</f>
        <v>pies</v>
      </c>
    </row>
    <row r="23" spans="1:16" x14ac:dyDescent="0.3">
      <c r="A23">
        <v>24</v>
      </c>
      <c r="B23">
        <v>3</v>
      </c>
      <c r="C23" t="str">
        <f>VLOOKUP(B23,Vets!A:G,7,FALSE)</f>
        <v>Tomasz Kaczmarek</v>
      </c>
      <c r="D23">
        <f>VLOOKUP(E23,Treatments!A:G,7,FALSE)</f>
        <v>150</v>
      </c>
      <c r="E23">
        <v>22</v>
      </c>
      <c r="H23" s="13">
        <v>24</v>
      </c>
      <c r="I23" t="str">
        <f>VLOOKUP(VLOOKUP(H23,Visits!A:B,2,FALSE),Pets!A:C,3,FALSE)</f>
        <v>pies</v>
      </c>
      <c r="J23">
        <f>VLOOKUP(H23,Treatments!B:G,6,FALSE)</f>
        <v>150</v>
      </c>
      <c r="L23">
        <v>23</v>
      </c>
      <c r="M23">
        <v>20</v>
      </c>
      <c r="N23" t="str">
        <f>VLOOKUP(M23,Pets!A:B,2,FALSE)</f>
        <v>Perełka</v>
      </c>
      <c r="O23">
        <f>IFERROR(VLOOKUP(L23,Treatments!B:G,6,FALSE),0)</f>
        <v>90</v>
      </c>
      <c r="P23" t="str">
        <f>VLOOKUP(M23,Pets!A:C,3,FALSE)</f>
        <v>kot</v>
      </c>
    </row>
    <row r="24" spans="1:16" x14ac:dyDescent="0.3">
      <c r="A24">
        <v>25</v>
      </c>
      <c r="B24">
        <v>6</v>
      </c>
      <c r="C24" t="str">
        <f>VLOOKUP(B24,Vets!A:G,7,FALSE)</f>
        <v>Janusz Szymański</v>
      </c>
      <c r="D24">
        <f>VLOOKUP(E24,Treatments!A:G,7,FALSE)</f>
        <v>110</v>
      </c>
      <c r="E24">
        <v>23</v>
      </c>
      <c r="H24" s="12">
        <v>25</v>
      </c>
      <c r="I24" t="str">
        <f>VLOOKUP(VLOOKUP(H24,Visits!A:B,2,FALSE),Pets!A:C,3,FALSE)</f>
        <v>pies</v>
      </c>
      <c r="J24">
        <f>VLOOKUP(H24,Treatments!B:G,6,FALSE)</f>
        <v>110</v>
      </c>
      <c r="L24">
        <v>24</v>
      </c>
      <c r="M24">
        <v>21</v>
      </c>
      <c r="N24" t="str">
        <f>VLOOKUP(M24,Pets!A:B,2,FALSE)</f>
        <v>Gniewko</v>
      </c>
      <c r="O24">
        <f>IFERROR(VLOOKUP(L24,Treatments!B:G,6,FALSE),0)</f>
        <v>150</v>
      </c>
      <c r="P24" t="str">
        <f>VLOOKUP(M24,Pets!A:C,3,FALSE)</f>
        <v>pies</v>
      </c>
    </row>
    <row r="25" spans="1:16" x14ac:dyDescent="0.3">
      <c r="A25">
        <v>26</v>
      </c>
      <c r="B25">
        <v>1</v>
      </c>
      <c r="C25" t="str">
        <f>VLOOKUP(B25,Vets!A:G,7,FALSE)</f>
        <v>Marek Nowak</v>
      </c>
      <c r="D25">
        <f>VLOOKUP(E25,Treatments!A:G,7,FALSE)</f>
        <v>400</v>
      </c>
      <c r="E25">
        <v>24</v>
      </c>
      <c r="H25" s="13">
        <v>26</v>
      </c>
      <c r="I25" t="str">
        <f>VLOOKUP(VLOOKUP(H25,Visits!A:B,2,FALSE),Pets!A:C,3,FALSE)</f>
        <v>kot</v>
      </c>
      <c r="J25">
        <f>VLOOKUP(H25,Treatments!B:G,6,FALSE)</f>
        <v>400</v>
      </c>
      <c r="L25">
        <v>25</v>
      </c>
      <c r="M25">
        <v>22</v>
      </c>
      <c r="N25" t="str">
        <f>VLOOKUP(M25,Pets!A:B,2,FALSE)</f>
        <v>Zara</v>
      </c>
      <c r="O25">
        <f>IFERROR(VLOOKUP(L25,Treatments!B:G,6,FALSE),0)</f>
        <v>110</v>
      </c>
      <c r="P25" t="str">
        <f>VLOOKUP(M25,Pets!A:C,3,FALSE)</f>
        <v>pies</v>
      </c>
    </row>
    <row r="26" spans="1:16" x14ac:dyDescent="0.3">
      <c r="A26">
        <v>27</v>
      </c>
      <c r="B26">
        <v>4</v>
      </c>
      <c r="C26" t="str">
        <f>VLOOKUP(B26,Vets!A:G,7,FALSE)</f>
        <v>Anna Wójcik</v>
      </c>
      <c r="D26">
        <f>VLOOKUP(E26,Treatments!A:G,7,FALSE)</f>
        <v>180</v>
      </c>
      <c r="E26">
        <v>25</v>
      </c>
      <c r="H26" s="12">
        <v>27</v>
      </c>
      <c r="I26" t="str">
        <f>VLOOKUP(VLOOKUP(H26,Visits!A:B,2,FALSE),Pets!A:C,3,FALSE)</f>
        <v>pies</v>
      </c>
      <c r="J26">
        <f>VLOOKUP(H26,Treatments!B:G,6,FALSE)</f>
        <v>180</v>
      </c>
      <c r="L26">
        <v>26</v>
      </c>
      <c r="M26">
        <v>23</v>
      </c>
      <c r="N26" t="str">
        <f>VLOOKUP(M26,Pets!A:B,2,FALSE)</f>
        <v>Czesia</v>
      </c>
      <c r="O26">
        <f>IFERROR(VLOOKUP(L26,Treatments!B:G,6,FALSE),0)</f>
        <v>400</v>
      </c>
      <c r="P26" t="str">
        <f>VLOOKUP(M26,Pets!A:C,3,FALSE)</f>
        <v>kot</v>
      </c>
    </row>
    <row r="27" spans="1:16" x14ac:dyDescent="0.3">
      <c r="A27">
        <v>28</v>
      </c>
      <c r="B27">
        <v>2</v>
      </c>
      <c r="C27" t="str">
        <f>VLOOKUP(B27,Vets!A:G,7,FALSE)</f>
        <v>Ewa Lis</v>
      </c>
      <c r="D27">
        <f>VLOOKUP(E27,Treatments!A:G,7,FALSE)</f>
        <v>40</v>
      </c>
      <c r="E27">
        <v>26</v>
      </c>
      <c r="H27" s="13">
        <v>28</v>
      </c>
      <c r="I27" t="str">
        <f>VLOOKUP(VLOOKUP(H27,Visits!A:B,2,FALSE),Pets!A:C,3,FALSE)</f>
        <v>pies</v>
      </c>
      <c r="J27">
        <f>VLOOKUP(H27,Treatments!B:G,6,FALSE)</f>
        <v>40</v>
      </c>
      <c r="L27">
        <v>27</v>
      </c>
      <c r="M27">
        <v>24</v>
      </c>
      <c r="N27" t="str">
        <f>VLOOKUP(M27,Pets!A:B,2,FALSE)</f>
        <v>Gucio</v>
      </c>
      <c r="O27">
        <f>IFERROR(VLOOKUP(L27,Treatments!B:G,6,FALSE),0)</f>
        <v>180</v>
      </c>
      <c r="P27" t="str">
        <f>VLOOKUP(M27,Pets!A:C,3,FALSE)</f>
        <v>pies</v>
      </c>
    </row>
    <row r="28" spans="1:16" x14ac:dyDescent="0.3">
      <c r="A28">
        <v>29</v>
      </c>
      <c r="B28">
        <v>5</v>
      </c>
      <c r="C28" t="str">
        <f>VLOOKUP(B28,Vets!A:G,7,FALSE)</f>
        <v>Paweł Mazur</v>
      </c>
      <c r="D28">
        <f>VLOOKUP(E28,Treatments!A:G,7,FALSE)</f>
        <v>35</v>
      </c>
      <c r="E28">
        <v>27</v>
      </c>
      <c r="H28" s="12">
        <v>29</v>
      </c>
      <c r="I28" t="str">
        <f>VLOOKUP(VLOOKUP(H28,Visits!A:B,2,FALSE),Pets!A:C,3,FALSE)</f>
        <v>pies</v>
      </c>
      <c r="J28">
        <f>VLOOKUP(H28,Treatments!B:G,6,FALSE)</f>
        <v>35</v>
      </c>
      <c r="L28">
        <v>28</v>
      </c>
      <c r="M28">
        <v>25</v>
      </c>
      <c r="N28" t="str">
        <f>VLOOKUP(M28,Pets!A:B,2,FALSE)</f>
        <v>Basia</v>
      </c>
      <c r="O28">
        <f>IFERROR(VLOOKUP(L28,Treatments!B:G,6,FALSE),0)</f>
        <v>40</v>
      </c>
      <c r="P28" t="str">
        <f>VLOOKUP(M28,Pets!A:C,3,FALSE)</f>
        <v>pies</v>
      </c>
    </row>
    <row r="29" spans="1:16" x14ac:dyDescent="0.3">
      <c r="A29">
        <v>30</v>
      </c>
      <c r="B29">
        <v>3</v>
      </c>
      <c r="C29" t="str">
        <f>VLOOKUP(B29,Vets!A:G,7,FALSE)</f>
        <v>Tomasz Kaczmarek</v>
      </c>
      <c r="D29">
        <f>VLOOKUP(E29,Treatments!A:G,7,FALSE)</f>
        <v>60</v>
      </c>
      <c r="E29">
        <v>28</v>
      </c>
      <c r="H29" s="13">
        <v>30</v>
      </c>
      <c r="I29" t="str">
        <f>VLOOKUP(VLOOKUP(H29,Visits!A:B,2,FALSE),Pets!A:C,3,FALSE)</f>
        <v>kot</v>
      </c>
      <c r="J29">
        <f>VLOOKUP(H29,Treatments!B:G,6,FALSE)</f>
        <v>60</v>
      </c>
      <c r="L29">
        <v>29</v>
      </c>
      <c r="M29">
        <v>26</v>
      </c>
      <c r="N29" t="str">
        <f>VLOOKUP(M29,Pets!A:B,2,FALSE)</f>
        <v>Tofik</v>
      </c>
      <c r="O29">
        <f>IFERROR(VLOOKUP(L29,Treatments!B:G,6,FALSE),0)</f>
        <v>35</v>
      </c>
      <c r="P29" t="str">
        <f>VLOOKUP(M29,Pets!A:C,3,FALSE)</f>
        <v>pies</v>
      </c>
    </row>
    <row r="30" spans="1:16" x14ac:dyDescent="0.3">
      <c r="A30">
        <v>31</v>
      </c>
      <c r="B30">
        <v>6</v>
      </c>
      <c r="C30" t="str">
        <f>VLOOKUP(B30,Vets!A:G,7,FALSE)</f>
        <v>Janusz Szymański</v>
      </c>
      <c r="D30">
        <f>VLOOKUP(E30,Treatments!A:G,7,FALSE)</f>
        <v>130</v>
      </c>
      <c r="E30">
        <v>29</v>
      </c>
      <c r="H30" s="12">
        <v>31</v>
      </c>
      <c r="I30" t="str">
        <f>VLOOKUP(VLOOKUP(H30,Visits!A:B,2,FALSE),Pets!A:C,3,FALSE)</f>
        <v>pies</v>
      </c>
      <c r="J30">
        <f>VLOOKUP(H30,Treatments!B:G,6,FALSE)</f>
        <v>130</v>
      </c>
      <c r="L30">
        <v>30</v>
      </c>
      <c r="M30">
        <v>27</v>
      </c>
      <c r="N30" t="str">
        <f>VLOOKUP(M30,Pets!A:B,2,FALSE)</f>
        <v>Lila</v>
      </c>
      <c r="O30">
        <f>IFERROR(VLOOKUP(L30,Treatments!B:G,6,FALSE),0)</f>
        <v>60</v>
      </c>
      <c r="P30" t="str">
        <f>VLOOKUP(M30,Pets!A:C,3,FALSE)</f>
        <v>kot</v>
      </c>
    </row>
    <row r="31" spans="1:16" x14ac:dyDescent="0.3">
      <c r="A31">
        <v>32</v>
      </c>
      <c r="B31">
        <v>2</v>
      </c>
      <c r="C31" t="str">
        <f>VLOOKUP(B31,Vets!A:G,7,FALSE)</f>
        <v>Ewa Lis</v>
      </c>
      <c r="D31">
        <f>VLOOKUP(E31,Treatments!A:G,7,FALSE)</f>
        <v>100</v>
      </c>
      <c r="E31">
        <v>30</v>
      </c>
      <c r="H31" s="13">
        <v>32</v>
      </c>
      <c r="I31" t="str">
        <f>VLOOKUP(VLOOKUP(H31,Visits!A:B,2,FALSE),Pets!A:C,3,FALSE)</f>
        <v>chomik</v>
      </c>
      <c r="J31">
        <f>VLOOKUP(H31,Treatments!B:G,6,FALSE)</f>
        <v>100</v>
      </c>
      <c r="L31">
        <v>31</v>
      </c>
      <c r="M31">
        <v>28</v>
      </c>
      <c r="N31" t="str">
        <f>VLOOKUP(M31,Pets!A:B,2,FALSE)</f>
        <v>Bruno</v>
      </c>
      <c r="O31">
        <f>IFERROR(VLOOKUP(L31,Treatments!B:G,6,FALSE),0)</f>
        <v>130</v>
      </c>
      <c r="P31" t="str">
        <f>VLOOKUP(M31,Pets!A:C,3,FALSE)</f>
        <v>pies</v>
      </c>
    </row>
    <row r="32" spans="1:16" x14ac:dyDescent="0.3">
      <c r="A32">
        <v>33</v>
      </c>
      <c r="B32">
        <v>1</v>
      </c>
      <c r="C32" t="str">
        <f>VLOOKUP(B32,Vets!A:G,7,FALSE)</f>
        <v>Marek Nowak</v>
      </c>
      <c r="D32">
        <f>VLOOKUP(E32,Treatments!A:G,7,FALSE)</f>
        <v>350</v>
      </c>
      <c r="E32">
        <v>31</v>
      </c>
      <c r="H32" s="12">
        <v>33</v>
      </c>
      <c r="I32" t="str">
        <f>VLOOKUP(VLOOKUP(H32,Visits!A:B,2,FALSE),Pets!A:C,3,FALSE)</f>
        <v>pies</v>
      </c>
      <c r="J32">
        <f>VLOOKUP(H32,Treatments!B:G,6,FALSE)</f>
        <v>350</v>
      </c>
      <c r="L32">
        <v>32</v>
      </c>
      <c r="M32">
        <v>29</v>
      </c>
      <c r="N32" t="str">
        <f>VLOOKUP(M32,Pets!A:B,2,FALSE)</f>
        <v>Złotko</v>
      </c>
      <c r="O32">
        <f>IFERROR(VLOOKUP(L32,Treatments!B:G,6,FALSE),0)</f>
        <v>100</v>
      </c>
      <c r="P32" t="str">
        <f>VLOOKUP(M32,Pets!A:C,3,FALSE)</f>
        <v>chomik</v>
      </c>
    </row>
    <row r="33" spans="1:16" x14ac:dyDescent="0.3">
      <c r="A33">
        <v>34</v>
      </c>
      <c r="B33">
        <v>4</v>
      </c>
      <c r="C33" t="str">
        <f>VLOOKUP(B33,Vets!A:G,7,FALSE)</f>
        <v>Anna Wójcik</v>
      </c>
      <c r="D33">
        <f>VLOOKUP(E33,Treatments!A:G,7,FALSE)</f>
        <v>40</v>
      </c>
      <c r="E33">
        <v>32</v>
      </c>
      <c r="H33" s="13">
        <v>34</v>
      </c>
      <c r="I33" t="str">
        <f>VLOOKUP(VLOOKUP(H33,Visits!A:B,2,FALSE),Pets!A:C,3,FALSE)</f>
        <v>kot</v>
      </c>
      <c r="J33">
        <f>VLOOKUP(H33,Treatments!B:G,6,FALSE)</f>
        <v>40</v>
      </c>
      <c r="L33">
        <v>33</v>
      </c>
      <c r="M33">
        <v>30</v>
      </c>
      <c r="N33" t="str">
        <f>VLOOKUP(M33,Pets!A:B,2,FALSE)</f>
        <v>Atlas</v>
      </c>
      <c r="O33">
        <f>IFERROR(VLOOKUP(L33,Treatments!B:G,6,FALSE),0)</f>
        <v>350</v>
      </c>
      <c r="P33" t="str">
        <f>VLOOKUP(M33,Pets!A:C,3,FALSE)</f>
        <v>pies</v>
      </c>
    </row>
    <row r="34" spans="1:16" x14ac:dyDescent="0.3">
      <c r="A34">
        <v>35</v>
      </c>
      <c r="B34">
        <v>3</v>
      </c>
      <c r="C34" t="str">
        <f>VLOOKUP(B34,Vets!A:G,7,FALSE)</f>
        <v>Tomasz Kaczmarek</v>
      </c>
      <c r="D34">
        <f>VLOOKUP(E34,Treatments!A:G,7,FALSE)</f>
        <v>70</v>
      </c>
      <c r="E34">
        <v>33</v>
      </c>
      <c r="H34" s="12">
        <v>35</v>
      </c>
      <c r="I34" t="str">
        <f>VLOOKUP(VLOOKUP(H34,Visits!A:B,2,FALSE),Pets!A:C,3,FALSE)</f>
        <v>papuga</v>
      </c>
      <c r="J34">
        <f>VLOOKUP(H34,Treatments!B:G,6,FALSE)</f>
        <v>70</v>
      </c>
      <c r="L34">
        <v>34</v>
      </c>
      <c r="M34">
        <v>31</v>
      </c>
      <c r="N34" t="str">
        <f>VLOOKUP(M34,Pets!A:B,2,FALSE)</f>
        <v>Ruda</v>
      </c>
      <c r="O34">
        <f>IFERROR(VLOOKUP(L34,Treatments!B:G,6,FALSE),0)</f>
        <v>40</v>
      </c>
      <c r="P34" t="str">
        <f>VLOOKUP(M34,Pets!A:C,3,FALSE)</f>
        <v>kot</v>
      </c>
    </row>
    <row r="35" spans="1:16" x14ac:dyDescent="0.3">
      <c r="A35">
        <v>36</v>
      </c>
      <c r="B35">
        <v>5</v>
      </c>
      <c r="C35" t="str">
        <f>VLOOKUP(B35,Vets!A:G,7,FALSE)</f>
        <v>Paweł Mazur</v>
      </c>
      <c r="D35">
        <f>VLOOKUP(E35,Treatments!A:G,7,FALSE)</f>
        <v>55</v>
      </c>
      <c r="E35">
        <v>34</v>
      </c>
      <c r="H35" s="13">
        <v>36</v>
      </c>
      <c r="I35" t="str">
        <f>VLOOKUP(VLOOKUP(H35,Visits!A:B,2,FALSE),Pets!A:C,3,FALSE)</f>
        <v>kot</v>
      </c>
      <c r="J35">
        <f>VLOOKUP(H35,Treatments!B:G,6,FALSE)</f>
        <v>55</v>
      </c>
      <c r="L35">
        <v>35</v>
      </c>
      <c r="M35">
        <v>32</v>
      </c>
      <c r="N35" t="str">
        <f>VLOOKUP(M35,Pets!A:B,2,FALSE)</f>
        <v>Zizi</v>
      </c>
      <c r="O35">
        <f>IFERROR(VLOOKUP(L35,Treatments!B:G,6,FALSE),0)</f>
        <v>70</v>
      </c>
      <c r="P35" t="str">
        <f>VLOOKUP(M35,Pets!A:C,3,FALSE)</f>
        <v>papuga</v>
      </c>
    </row>
    <row r="36" spans="1:16" x14ac:dyDescent="0.3">
      <c r="A36">
        <v>37</v>
      </c>
      <c r="B36">
        <v>6</v>
      </c>
      <c r="C36" t="str">
        <f>VLOOKUP(B36,Vets!A:G,7,FALSE)</f>
        <v>Janusz Szymański</v>
      </c>
      <c r="D36">
        <f>VLOOKUP(E36,Treatments!A:G,7,FALSE)</f>
        <v>220</v>
      </c>
      <c r="E36">
        <v>35</v>
      </c>
      <c r="H36" s="12">
        <v>37</v>
      </c>
      <c r="I36" t="str">
        <f>VLOOKUP(VLOOKUP(H36,Visits!A:B,2,FALSE),Pets!A:C,3,FALSE)</f>
        <v>pies</v>
      </c>
      <c r="J36">
        <f>VLOOKUP(H36,Treatments!B:G,6,FALSE)</f>
        <v>220</v>
      </c>
      <c r="L36">
        <v>36</v>
      </c>
      <c r="M36">
        <v>33</v>
      </c>
      <c r="N36" t="str">
        <f>VLOOKUP(M36,Pets!A:B,2,FALSE)</f>
        <v>Balbinka</v>
      </c>
      <c r="O36">
        <f>IFERROR(VLOOKUP(L36,Treatments!B:G,6,FALSE),0)</f>
        <v>55</v>
      </c>
      <c r="P36" t="str">
        <f>VLOOKUP(M36,Pets!A:C,3,FALSE)</f>
        <v>kot</v>
      </c>
    </row>
    <row r="37" spans="1:16" x14ac:dyDescent="0.3">
      <c r="A37">
        <v>38</v>
      </c>
      <c r="B37">
        <v>2</v>
      </c>
      <c r="C37" t="str">
        <f>VLOOKUP(B37,Vets!A:G,7,FALSE)</f>
        <v>Ewa Lis</v>
      </c>
      <c r="D37">
        <f>VLOOKUP(E37,Treatments!A:G,7,FALSE)</f>
        <v>70</v>
      </c>
      <c r="E37">
        <v>36</v>
      </c>
      <c r="H37" s="13">
        <v>38</v>
      </c>
      <c r="I37" t="str">
        <f>VLOOKUP(VLOOKUP(H37,Visits!A:B,2,FALSE),Pets!A:C,3,FALSE)</f>
        <v>pies</v>
      </c>
      <c r="J37">
        <f>VLOOKUP(H37,Treatments!B:G,6,FALSE)</f>
        <v>70</v>
      </c>
      <c r="L37">
        <v>37</v>
      </c>
      <c r="M37">
        <v>34</v>
      </c>
      <c r="N37" t="str">
        <f>VLOOKUP(M37,Pets!A:B,2,FALSE)</f>
        <v>Reksio</v>
      </c>
      <c r="O37">
        <f>IFERROR(VLOOKUP(L37,Treatments!B:G,6,FALSE),0)</f>
        <v>220</v>
      </c>
      <c r="P37" t="str">
        <f>VLOOKUP(M37,Pets!A:C,3,FALSE)</f>
        <v>pies</v>
      </c>
    </row>
    <row r="38" spans="1:16" x14ac:dyDescent="0.3">
      <c r="A38">
        <v>39</v>
      </c>
      <c r="B38">
        <v>1</v>
      </c>
      <c r="C38" t="str">
        <f>VLOOKUP(B38,Vets!A:G,7,FALSE)</f>
        <v>Marek Nowak</v>
      </c>
      <c r="D38">
        <f>VLOOKUP(E38,Treatments!A:G,7,FALSE)</f>
        <v>60</v>
      </c>
      <c r="E38">
        <v>37</v>
      </c>
      <c r="H38" s="12">
        <v>39</v>
      </c>
      <c r="I38" t="str">
        <f>VLOOKUP(VLOOKUP(H38,Visits!A:B,2,FALSE),Pets!A:C,3,FALSE)</f>
        <v>kot</v>
      </c>
      <c r="J38">
        <f>VLOOKUP(H38,Treatments!B:G,6,FALSE)</f>
        <v>60</v>
      </c>
      <c r="L38">
        <v>38</v>
      </c>
      <c r="M38">
        <v>35</v>
      </c>
      <c r="N38" t="str">
        <f>VLOOKUP(M38,Pets!A:B,2,FALSE)</f>
        <v>Nero</v>
      </c>
      <c r="O38">
        <f>IFERROR(VLOOKUP(L38,Treatments!B:G,6,FALSE),0)</f>
        <v>70</v>
      </c>
      <c r="P38" t="str">
        <f>VLOOKUP(M38,Pets!A:C,3,FALSE)</f>
        <v>pies</v>
      </c>
    </row>
    <row r="39" spans="1:16" x14ac:dyDescent="0.3">
      <c r="A39">
        <v>40</v>
      </c>
      <c r="B39">
        <v>3</v>
      </c>
      <c r="C39" t="str">
        <f>VLOOKUP(B39,Vets!A:G,7,FALSE)</f>
        <v>Tomasz Kaczmarek</v>
      </c>
      <c r="D39">
        <f>VLOOKUP(E39,Treatments!A:G,7,FALSE)</f>
        <v>90</v>
      </c>
      <c r="E39">
        <v>38</v>
      </c>
      <c r="H39" s="13">
        <v>40</v>
      </c>
      <c r="I39" t="str">
        <f>VLOOKUP(VLOOKUP(H39,Visits!A:B,2,FALSE),Pets!A:C,3,FALSE)</f>
        <v>pies</v>
      </c>
      <c r="J39">
        <f>VLOOKUP(H39,Treatments!B:G,6,FALSE)</f>
        <v>90</v>
      </c>
      <c r="L39">
        <v>39</v>
      </c>
      <c r="M39">
        <v>36</v>
      </c>
      <c r="N39" t="str">
        <f>VLOOKUP(M39,Pets!A:B,2,FALSE)</f>
        <v>Kleopatra</v>
      </c>
      <c r="O39">
        <f>IFERROR(VLOOKUP(L39,Treatments!B:G,6,FALSE),0)</f>
        <v>60</v>
      </c>
      <c r="P39" t="str">
        <f>VLOOKUP(M39,Pets!A:C,3,FALSE)</f>
        <v>kot</v>
      </c>
    </row>
    <row r="40" spans="1:16" x14ac:dyDescent="0.3">
      <c r="A40">
        <v>41</v>
      </c>
      <c r="B40">
        <v>4</v>
      </c>
      <c r="C40" t="str">
        <f>VLOOKUP(B40,Vets!A:G,7,FALSE)</f>
        <v>Anna Wójcik</v>
      </c>
      <c r="D40">
        <f>VLOOKUP(E40,Treatments!A:G,7,FALSE)</f>
        <v>85</v>
      </c>
      <c r="E40">
        <v>39</v>
      </c>
      <c r="H40" s="12">
        <v>41</v>
      </c>
      <c r="I40" t="str">
        <f>VLOOKUP(VLOOKUP(H40,Visits!A:B,2,FALSE),Pets!A:C,3,FALSE)</f>
        <v>chomik</v>
      </c>
      <c r="J40">
        <f>VLOOKUP(H40,Treatments!B:G,6,FALSE)</f>
        <v>85</v>
      </c>
      <c r="L40">
        <v>40</v>
      </c>
      <c r="M40">
        <v>37</v>
      </c>
      <c r="N40" t="str">
        <f>VLOOKUP(M40,Pets!A:B,2,FALSE)</f>
        <v>Fifi</v>
      </c>
      <c r="O40">
        <f>IFERROR(VLOOKUP(L40,Treatments!B:G,6,FALSE),0)</f>
        <v>90</v>
      </c>
      <c r="P40" t="str">
        <f>VLOOKUP(M40,Pets!A:C,3,FALSE)</f>
        <v>pies</v>
      </c>
    </row>
    <row r="41" spans="1:16" x14ac:dyDescent="0.3">
      <c r="A41">
        <v>42</v>
      </c>
      <c r="B41">
        <v>5</v>
      </c>
      <c r="C41" t="str">
        <f>VLOOKUP(B41,Vets!A:G,7,FALSE)</f>
        <v>Paweł Mazur</v>
      </c>
      <c r="D41">
        <f>VLOOKUP(E41,Treatments!A:G,7,FALSE)</f>
        <v>35</v>
      </c>
      <c r="E41">
        <v>40</v>
      </c>
      <c r="H41" s="13">
        <v>42</v>
      </c>
      <c r="I41" t="str">
        <f>VLOOKUP(VLOOKUP(H41,Visits!A:B,2,FALSE),Pets!A:C,3,FALSE)</f>
        <v>pies</v>
      </c>
      <c r="J41">
        <f>VLOOKUP(H41,Treatments!B:G,6,FALSE)</f>
        <v>35</v>
      </c>
      <c r="L41">
        <v>41</v>
      </c>
      <c r="M41">
        <v>38</v>
      </c>
      <c r="N41" t="str">
        <f>VLOOKUP(M41,Pets!A:B,2,FALSE)</f>
        <v>Miszka</v>
      </c>
      <c r="O41">
        <f>IFERROR(VLOOKUP(L41,Treatments!B:G,6,FALSE),0)</f>
        <v>85</v>
      </c>
      <c r="P41" t="str">
        <f>VLOOKUP(M41,Pets!A:C,3,FALSE)</f>
        <v>chomik</v>
      </c>
    </row>
    <row r="42" spans="1:16" x14ac:dyDescent="0.3">
      <c r="A42">
        <v>43</v>
      </c>
      <c r="B42">
        <v>6</v>
      </c>
      <c r="C42" t="str">
        <f>VLOOKUP(B42,Vets!A:G,7,FALSE)</f>
        <v>Janusz Szymański</v>
      </c>
      <c r="D42">
        <f>VLOOKUP(E42,Treatments!A:G,7,FALSE)</f>
        <v>250</v>
      </c>
      <c r="E42">
        <v>41</v>
      </c>
      <c r="H42" s="12">
        <v>43</v>
      </c>
      <c r="I42" t="str">
        <f>VLOOKUP(VLOOKUP(H42,Visits!A:B,2,FALSE),Pets!A:C,3,FALSE)</f>
        <v>kot</v>
      </c>
      <c r="J42">
        <f>VLOOKUP(H42,Treatments!B:G,6,FALSE)</f>
        <v>250</v>
      </c>
      <c r="L42">
        <v>42</v>
      </c>
      <c r="M42">
        <v>39</v>
      </c>
      <c r="N42" t="str">
        <f>VLOOKUP(M42,Pets!A:B,2,FALSE)</f>
        <v>Max</v>
      </c>
      <c r="O42">
        <f>IFERROR(VLOOKUP(L42,Treatments!B:G,6,FALSE),0)</f>
        <v>35</v>
      </c>
      <c r="P42" t="str">
        <f>VLOOKUP(M42,Pets!A:C,3,FALSE)</f>
        <v>pies</v>
      </c>
    </row>
    <row r="43" spans="1:16" x14ac:dyDescent="0.3">
      <c r="A43">
        <v>44</v>
      </c>
      <c r="B43">
        <v>2</v>
      </c>
      <c r="C43" t="str">
        <f>VLOOKUP(B43,Vets!A:G,7,FALSE)</f>
        <v>Ewa Lis</v>
      </c>
      <c r="D43">
        <f>VLOOKUP(E43,Treatments!A:G,7,FALSE)</f>
        <v>80</v>
      </c>
      <c r="E43">
        <v>42</v>
      </c>
      <c r="H43" s="13">
        <v>44</v>
      </c>
      <c r="I43" t="str">
        <f>VLOOKUP(VLOOKUP(H43,Visits!A:B,2,FALSE),Pets!A:C,3,FALSE)</f>
        <v>pies</v>
      </c>
      <c r="J43">
        <f>VLOOKUP(H43,Treatments!B:G,6,FALSE)</f>
        <v>80</v>
      </c>
      <c r="L43">
        <v>43</v>
      </c>
      <c r="M43">
        <v>40</v>
      </c>
      <c r="N43" t="str">
        <f>VLOOKUP(M43,Pets!A:B,2,FALSE)</f>
        <v>Śmiga</v>
      </c>
      <c r="O43">
        <f>IFERROR(VLOOKUP(L43,Treatments!B:G,6,FALSE),0)</f>
        <v>250</v>
      </c>
      <c r="P43" t="str">
        <f>VLOOKUP(M43,Pets!A:C,3,FALSE)</f>
        <v>kot</v>
      </c>
    </row>
    <row r="44" spans="1:16" x14ac:dyDescent="0.3">
      <c r="A44">
        <v>45</v>
      </c>
      <c r="B44">
        <v>1</v>
      </c>
      <c r="C44" t="str">
        <f>VLOOKUP(B44,Vets!A:G,7,FALSE)</f>
        <v>Marek Nowak</v>
      </c>
      <c r="D44">
        <f>VLOOKUP(E44,Treatments!A:G,7,FALSE)</f>
        <v>900</v>
      </c>
      <c r="E44">
        <v>43</v>
      </c>
      <c r="H44" s="12">
        <v>45</v>
      </c>
      <c r="I44" t="str">
        <f>VLOOKUP(VLOOKUP(H44,Visits!A:B,2,FALSE),Pets!A:C,3,FALSE)</f>
        <v>królik</v>
      </c>
      <c r="J44">
        <f>VLOOKUP(H44,Treatments!B:G,6,FALSE)</f>
        <v>900</v>
      </c>
      <c r="L44">
        <v>44</v>
      </c>
      <c r="M44">
        <v>41</v>
      </c>
      <c r="N44" t="str">
        <f>VLOOKUP(M44,Pets!A:B,2,FALSE)</f>
        <v>Stella</v>
      </c>
      <c r="O44">
        <f>IFERROR(VLOOKUP(L44,Treatments!B:G,6,FALSE),0)</f>
        <v>80</v>
      </c>
      <c r="P44" t="str">
        <f>VLOOKUP(M44,Pets!A:C,3,FALSE)</f>
        <v>pies</v>
      </c>
    </row>
    <row r="45" spans="1:16" x14ac:dyDescent="0.3">
      <c r="A45">
        <v>46</v>
      </c>
      <c r="B45">
        <v>3</v>
      </c>
      <c r="C45" t="str">
        <f>VLOOKUP(B45,Vets!A:G,7,FALSE)</f>
        <v>Tomasz Kaczmarek</v>
      </c>
      <c r="D45">
        <f>VLOOKUP(E45,Treatments!A:G,7,FALSE)</f>
        <v>160</v>
      </c>
      <c r="E45">
        <v>44</v>
      </c>
      <c r="H45" s="13">
        <v>46</v>
      </c>
      <c r="I45" t="str">
        <f>VLOOKUP(VLOOKUP(H45,Visits!A:B,2,FALSE),Pets!A:C,3,FALSE)</f>
        <v>pies</v>
      </c>
      <c r="J45">
        <f>VLOOKUP(H45,Treatments!B:G,6,FALSE)</f>
        <v>160</v>
      </c>
      <c r="L45">
        <v>45</v>
      </c>
      <c r="M45">
        <v>42</v>
      </c>
      <c r="N45" t="str">
        <f>VLOOKUP(M45,Pets!A:B,2,FALSE)</f>
        <v>Puch</v>
      </c>
      <c r="O45">
        <f>IFERROR(VLOOKUP(L45,Treatments!B:G,6,FALSE),0)</f>
        <v>900</v>
      </c>
      <c r="P45" t="str">
        <f>VLOOKUP(M45,Pets!A:C,3,FALSE)</f>
        <v>królik</v>
      </c>
    </row>
    <row r="46" spans="1:16" x14ac:dyDescent="0.3">
      <c r="A46">
        <v>47</v>
      </c>
      <c r="B46">
        <v>4</v>
      </c>
      <c r="C46" t="str">
        <f>VLOOKUP(B46,Vets!A:G,7,FALSE)</f>
        <v>Anna Wójcik</v>
      </c>
      <c r="D46">
        <f>VLOOKUP(E46,Treatments!A:G,7,FALSE)</f>
        <v>70</v>
      </c>
      <c r="E46">
        <v>45</v>
      </c>
      <c r="H46" s="12">
        <v>47</v>
      </c>
      <c r="I46" t="str">
        <f>VLOOKUP(VLOOKUP(H46,Visits!A:B,2,FALSE),Pets!A:C,3,FALSE)</f>
        <v>kot</v>
      </c>
      <c r="J46">
        <f>VLOOKUP(H46,Treatments!B:G,6,FALSE)</f>
        <v>70</v>
      </c>
      <c r="L46">
        <v>46</v>
      </c>
      <c r="M46">
        <v>43</v>
      </c>
      <c r="N46" t="str">
        <f>VLOOKUP(M46,Pets!A:B,2,FALSE)</f>
        <v>Samson</v>
      </c>
      <c r="O46">
        <f>IFERROR(VLOOKUP(L46,Treatments!B:G,6,FALSE),0)</f>
        <v>160</v>
      </c>
      <c r="P46" t="str">
        <f>VLOOKUP(M46,Pets!A:C,3,FALSE)</f>
        <v>pies</v>
      </c>
    </row>
    <row r="47" spans="1:16" x14ac:dyDescent="0.3">
      <c r="A47">
        <v>48</v>
      </c>
      <c r="B47">
        <v>5</v>
      </c>
      <c r="C47" t="str">
        <f>VLOOKUP(B47,Vets!A:G,7,FALSE)</f>
        <v>Paweł Mazur</v>
      </c>
      <c r="D47">
        <f>VLOOKUP(E47,Treatments!A:G,7,FALSE)</f>
        <v>65</v>
      </c>
      <c r="E47">
        <v>46</v>
      </c>
      <c r="H47" s="13">
        <v>48</v>
      </c>
      <c r="I47" t="str">
        <f>VLOOKUP(VLOOKUP(H47,Visits!A:B,2,FALSE),Pets!A:C,3,FALSE)</f>
        <v>kot</v>
      </c>
      <c r="J47">
        <f>VLOOKUP(H47,Treatments!B:G,6,FALSE)</f>
        <v>65</v>
      </c>
      <c r="L47">
        <v>47</v>
      </c>
      <c r="M47">
        <v>44</v>
      </c>
      <c r="N47" t="str">
        <f>VLOOKUP(M47,Pets!A:B,2,FALSE)</f>
        <v>Fryderyk</v>
      </c>
      <c r="O47">
        <f>IFERROR(VLOOKUP(L47,Treatments!B:G,6,FALSE),0)</f>
        <v>70</v>
      </c>
      <c r="P47" t="str">
        <f>VLOOKUP(M47,Pets!A:C,3,FALSE)</f>
        <v>kot</v>
      </c>
    </row>
    <row r="48" spans="1:16" x14ac:dyDescent="0.3">
      <c r="A48">
        <v>49</v>
      </c>
      <c r="B48">
        <v>6</v>
      </c>
      <c r="C48" t="str">
        <f>VLOOKUP(B48,Vets!A:G,7,FALSE)</f>
        <v>Janusz Szymański</v>
      </c>
      <c r="D48">
        <f>VLOOKUP(E48,Treatments!A:G,7,FALSE)</f>
        <v>200</v>
      </c>
      <c r="E48">
        <v>47</v>
      </c>
      <c r="H48" s="12">
        <v>49</v>
      </c>
      <c r="I48" t="str">
        <f>VLOOKUP(VLOOKUP(H48,Visits!A:B,2,FALSE),Pets!A:C,3,FALSE)</f>
        <v>pies</v>
      </c>
      <c r="J48">
        <f>VLOOKUP(H48,Treatments!B:G,6,FALSE)</f>
        <v>200</v>
      </c>
      <c r="L48">
        <v>48</v>
      </c>
      <c r="M48">
        <v>45</v>
      </c>
      <c r="N48" t="str">
        <f>VLOOKUP(M48,Pets!A:B,2,FALSE)</f>
        <v>Miętka</v>
      </c>
      <c r="O48">
        <f>IFERROR(VLOOKUP(L48,Treatments!B:G,6,FALSE),0)</f>
        <v>65</v>
      </c>
      <c r="P48" t="str">
        <f>VLOOKUP(M48,Pets!A:C,3,FALSE)</f>
        <v>kot</v>
      </c>
    </row>
    <row r="49" spans="1:16" x14ac:dyDescent="0.3">
      <c r="A49">
        <v>50</v>
      </c>
      <c r="B49">
        <v>2</v>
      </c>
      <c r="C49" t="str">
        <f>VLOOKUP(B49,Vets!A:G,7,FALSE)</f>
        <v>Ewa Lis</v>
      </c>
      <c r="D49">
        <f>VLOOKUP(E49,Treatments!A:G,7,FALSE)</f>
        <v>150</v>
      </c>
      <c r="E49">
        <v>48</v>
      </c>
      <c r="H49" s="13">
        <v>50</v>
      </c>
      <c r="I49" t="str">
        <f>VLOOKUP(VLOOKUP(H49,Visits!A:B,2,FALSE),Pets!A:C,3,FALSE)</f>
        <v>pies</v>
      </c>
      <c r="J49">
        <f>VLOOKUP(H49,Treatments!B:G,6,FALSE)</f>
        <v>150</v>
      </c>
      <c r="L49">
        <v>49</v>
      </c>
      <c r="M49">
        <v>46</v>
      </c>
      <c r="N49" t="str">
        <f>VLOOKUP(M49,Pets!A:B,2,FALSE)</f>
        <v>Zuzia</v>
      </c>
      <c r="O49">
        <f>IFERROR(VLOOKUP(L49,Treatments!B:G,6,FALSE),0)</f>
        <v>200</v>
      </c>
      <c r="P49" t="str">
        <f>VLOOKUP(M49,Pets!A:C,3,FALSE)</f>
        <v>pies</v>
      </c>
    </row>
    <row r="50" spans="1:16" x14ac:dyDescent="0.3">
      <c r="A50">
        <v>51</v>
      </c>
      <c r="B50">
        <v>1</v>
      </c>
      <c r="C50" t="str">
        <f>VLOOKUP(B50,Vets!A:G,7,FALSE)</f>
        <v>Marek Nowak</v>
      </c>
      <c r="D50">
        <f>VLOOKUP(E50,Treatments!A:G,7,FALSE)</f>
        <v>300</v>
      </c>
      <c r="E50">
        <v>49</v>
      </c>
      <c r="H50" s="12">
        <v>51</v>
      </c>
      <c r="I50" t="str">
        <f>VLOOKUP(VLOOKUP(H50,Visits!A:B,2,FALSE),Pets!A:C,3,FALSE)</f>
        <v>kot</v>
      </c>
      <c r="J50">
        <f>VLOOKUP(H50,Treatments!B:G,6,FALSE)</f>
        <v>300</v>
      </c>
      <c r="L50">
        <v>50</v>
      </c>
      <c r="M50">
        <v>47</v>
      </c>
      <c r="N50" t="str">
        <f>VLOOKUP(M50,Pets!A:B,2,FALSE)</f>
        <v>Rambo</v>
      </c>
      <c r="O50">
        <f>IFERROR(VLOOKUP(L50,Treatments!B:G,6,FALSE),0)</f>
        <v>150</v>
      </c>
      <c r="P50" t="str">
        <f>VLOOKUP(M50,Pets!A:C,3,FALSE)</f>
        <v>pies</v>
      </c>
    </row>
    <row r="51" spans="1:16" x14ac:dyDescent="0.3">
      <c r="A51">
        <v>52</v>
      </c>
      <c r="B51">
        <v>3</v>
      </c>
      <c r="C51" t="str">
        <f>VLOOKUP(B51,Vets!A:G,7,FALSE)</f>
        <v>Tomasz Kaczmarek</v>
      </c>
      <c r="D51">
        <f>VLOOKUP(E51,Treatments!A:G,7,FALSE)</f>
        <v>90</v>
      </c>
      <c r="E51">
        <v>50</v>
      </c>
      <c r="H51" s="13">
        <v>52</v>
      </c>
      <c r="I51" t="str">
        <f>VLOOKUP(VLOOKUP(H51,Visits!A:B,2,FALSE),Pets!A:C,3,FALSE)</f>
        <v>pies</v>
      </c>
      <c r="J51">
        <f>VLOOKUP(H51,Treatments!B:G,6,FALSE)</f>
        <v>90</v>
      </c>
      <c r="L51">
        <v>51</v>
      </c>
      <c r="M51">
        <v>48</v>
      </c>
      <c r="N51" t="str">
        <f>VLOOKUP(M51,Pets!A:B,2,FALSE)</f>
        <v>Kleks</v>
      </c>
      <c r="O51">
        <f>IFERROR(VLOOKUP(L51,Treatments!B:G,6,FALSE),0)</f>
        <v>300</v>
      </c>
      <c r="P51" t="str">
        <f>VLOOKUP(M51,Pets!A:C,3,FALSE)</f>
        <v>kot</v>
      </c>
    </row>
    <row r="52" spans="1:16" x14ac:dyDescent="0.3">
      <c r="A52">
        <v>53</v>
      </c>
      <c r="B52">
        <v>4</v>
      </c>
      <c r="C52" t="str">
        <f>VLOOKUP(B52,Vets!A:G,7,FALSE)</f>
        <v>Anna Wójcik</v>
      </c>
      <c r="D52">
        <f>VLOOKUP(E52,Treatments!A:G,7,FALSE)</f>
        <v>110</v>
      </c>
      <c r="E52">
        <v>51</v>
      </c>
      <c r="H52" s="12">
        <v>53</v>
      </c>
      <c r="I52" t="str">
        <f>VLOOKUP(VLOOKUP(H52,Visits!A:B,2,FALSE),Pets!A:C,3,FALSE)</f>
        <v>kot</v>
      </c>
      <c r="J52">
        <f>VLOOKUP(H52,Treatments!B:G,6,FALSE)</f>
        <v>110</v>
      </c>
      <c r="L52">
        <v>52</v>
      </c>
      <c r="M52">
        <v>49</v>
      </c>
      <c r="N52" t="str">
        <f>VLOOKUP(M52,Pets!A:B,2,FALSE)</f>
        <v>Baśka</v>
      </c>
      <c r="O52">
        <f>IFERROR(VLOOKUP(L52,Treatments!B:G,6,FALSE),0)</f>
        <v>90</v>
      </c>
      <c r="P52" t="str">
        <f>VLOOKUP(M52,Pets!A:C,3,FALSE)</f>
        <v>pies</v>
      </c>
    </row>
    <row r="53" spans="1:16" x14ac:dyDescent="0.3">
      <c r="A53">
        <v>54</v>
      </c>
      <c r="B53">
        <v>6</v>
      </c>
      <c r="C53" t="str">
        <f>VLOOKUP(B53,Vets!A:G,7,FALSE)</f>
        <v>Janusz Szymański</v>
      </c>
      <c r="D53">
        <f>VLOOKUP(E53,Treatments!A:G,7,FALSE)</f>
        <v>70</v>
      </c>
      <c r="E53">
        <v>52</v>
      </c>
      <c r="H53" s="13">
        <v>54</v>
      </c>
      <c r="I53" t="str">
        <f>VLOOKUP(VLOOKUP(H53,Visits!A:B,2,FALSE),Pets!A:C,3,FALSE)</f>
        <v>pies</v>
      </c>
      <c r="J53">
        <f>VLOOKUP(H53,Treatments!B:G,6,FALSE)</f>
        <v>70</v>
      </c>
      <c r="L53">
        <v>53</v>
      </c>
      <c r="M53">
        <v>50</v>
      </c>
      <c r="N53" t="str">
        <f>VLOOKUP(M53,Pets!A:B,2,FALSE)</f>
        <v>Oreo</v>
      </c>
      <c r="O53">
        <f>IFERROR(VLOOKUP(L53,Treatments!B:G,6,FALSE),0)</f>
        <v>110</v>
      </c>
      <c r="P53" t="str">
        <f>VLOOKUP(M53,Pets!A:C,3,FALSE)</f>
        <v>kot</v>
      </c>
    </row>
    <row r="54" spans="1:16" x14ac:dyDescent="0.3">
      <c r="A54">
        <v>55</v>
      </c>
      <c r="B54">
        <v>1</v>
      </c>
      <c r="C54" t="str">
        <f>VLOOKUP(B54,Vets!A:G,7,FALSE)</f>
        <v>Marek Nowak</v>
      </c>
      <c r="D54">
        <f>VLOOKUP(E54,Treatments!A:G,7,FALSE)</f>
        <v>100</v>
      </c>
      <c r="E54">
        <v>53</v>
      </c>
      <c r="H54" s="12">
        <v>55</v>
      </c>
      <c r="I54" t="str">
        <f>VLOOKUP(VLOOKUP(H54,Visits!A:B,2,FALSE),Pets!A:C,3,FALSE)</f>
        <v>kot</v>
      </c>
      <c r="J54">
        <f>VLOOKUP(H54,Treatments!B:G,6,FALSE)</f>
        <v>100</v>
      </c>
      <c r="L54">
        <v>54</v>
      </c>
      <c r="M54">
        <v>51</v>
      </c>
      <c r="N54" t="str">
        <f>VLOOKUP(M54,Pets!A:B,2,FALSE)</f>
        <v>Hektor</v>
      </c>
      <c r="O54">
        <f>IFERROR(VLOOKUP(L54,Treatments!B:G,6,FALSE),0)</f>
        <v>70</v>
      </c>
      <c r="P54" t="str">
        <f>VLOOKUP(M54,Pets!A:C,3,FALSE)</f>
        <v>pies</v>
      </c>
    </row>
    <row r="55" spans="1:16" x14ac:dyDescent="0.3">
      <c r="A55">
        <v>56</v>
      </c>
      <c r="B55">
        <v>2</v>
      </c>
      <c r="C55" t="str">
        <f>VLOOKUP(B55,Vets!A:G,7,FALSE)</f>
        <v>Ewa Lis</v>
      </c>
      <c r="D55">
        <f>VLOOKUP(E55,Treatments!A:G,7,FALSE)</f>
        <v>80</v>
      </c>
      <c r="E55">
        <v>54</v>
      </c>
      <c r="H55" s="13">
        <v>56</v>
      </c>
      <c r="I55" t="str">
        <f>VLOOKUP(VLOOKUP(H55,Visits!A:B,2,FALSE),Pets!A:C,3,FALSE)</f>
        <v>pies</v>
      </c>
      <c r="J55">
        <f>VLOOKUP(H55,Treatments!B:G,6,FALSE)</f>
        <v>80</v>
      </c>
      <c r="L55">
        <v>55</v>
      </c>
      <c r="M55">
        <v>52</v>
      </c>
      <c r="N55" t="str">
        <f>VLOOKUP(M55,Pets!A:B,2,FALSE)</f>
        <v>Bianka</v>
      </c>
      <c r="O55">
        <f>IFERROR(VLOOKUP(L55,Treatments!B:G,6,FALSE),0)</f>
        <v>100</v>
      </c>
      <c r="P55" t="str">
        <f>VLOOKUP(M55,Pets!A:C,3,FALSE)</f>
        <v>kot</v>
      </c>
    </row>
    <row r="56" spans="1:16" x14ac:dyDescent="0.3">
      <c r="A56">
        <v>57</v>
      </c>
      <c r="B56">
        <v>3</v>
      </c>
      <c r="C56" t="str">
        <f>VLOOKUP(B56,Vets!A:G,7,FALSE)</f>
        <v>Tomasz Kaczmarek</v>
      </c>
      <c r="D56">
        <f>VLOOKUP(E56,Treatments!A:G,7,FALSE)</f>
        <v>60</v>
      </c>
      <c r="E56">
        <v>55</v>
      </c>
      <c r="H56" s="12">
        <v>57</v>
      </c>
      <c r="I56" t="str">
        <f>VLOOKUP(VLOOKUP(H56,Visits!A:B,2,FALSE),Pets!A:C,3,FALSE)</f>
        <v>kot</v>
      </c>
      <c r="J56">
        <f>VLOOKUP(H56,Treatments!B:G,6,FALSE)</f>
        <v>60</v>
      </c>
      <c r="L56">
        <v>56</v>
      </c>
      <c r="M56">
        <v>53</v>
      </c>
      <c r="N56" t="str">
        <f>VLOOKUP(M56,Pets!A:B,2,FALSE)</f>
        <v>Puzon</v>
      </c>
      <c r="O56">
        <f>IFERROR(VLOOKUP(L56,Treatments!B:G,6,FALSE),0)</f>
        <v>80</v>
      </c>
      <c r="P56" t="str">
        <f>VLOOKUP(M56,Pets!A:C,3,FALSE)</f>
        <v>pies</v>
      </c>
    </row>
    <row r="57" spans="1:16" x14ac:dyDescent="0.3">
      <c r="A57">
        <v>58</v>
      </c>
      <c r="B57">
        <v>6</v>
      </c>
      <c r="C57" t="str">
        <f>VLOOKUP(B57,Vets!A:G,7,FALSE)</f>
        <v>Janusz Szymański</v>
      </c>
      <c r="D57">
        <f>VLOOKUP(E57,Treatments!A:G,7,FALSE)</f>
        <v>130</v>
      </c>
      <c r="E57">
        <v>56</v>
      </c>
      <c r="H57" s="13">
        <v>58</v>
      </c>
      <c r="I57" t="str">
        <f>VLOOKUP(VLOOKUP(H57,Visits!A:B,2,FALSE),Pets!A:C,3,FALSE)</f>
        <v>pies</v>
      </c>
      <c r="J57">
        <f>VLOOKUP(H57,Treatments!B:G,6,FALSE)</f>
        <v>130</v>
      </c>
      <c r="L57">
        <v>57</v>
      </c>
      <c r="M57">
        <v>54</v>
      </c>
      <c r="N57" t="str">
        <f>VLOOKUP(M57,Pets!A:B,2,FALSE)</f>
        <v>Tulipan</v>
      </c>
      <c r="O57">
        <f>IFERROR(VLOOKUP(L57,Treatments!B:G,6,FALSE),0)</f>
        <v>60</v>
      </c>
      <c r="P57" t="str">
        <f>VLOOKUP(M57,Pets!A:C,3,FALSE)</f>
        <v>kot</v>
      </c>
    </row>
    <row r="58" spans="1:16" x14ac:dyDescent="0.3">
      <c r="A58">
        <v>59</v>
      </c>
      <c r="B58">
        <v>4</v>
      </c>
      <c r="C58" t="str">
        <f>VLOOKUP(B58,Vets!A:G,7,FALSE)</f>
        <v>Anna Wójcik</v>
      </c>
      <c r="D58">
        <f>VLOOKUP(E58,Treatments!A:G,7,FALSE)</f>
        <v>35</v>
      </c>
      <c r="E58">
        <v>57</v>
      </c>
      <c r="H58" s="12">
        <v>59</v>
      </c>
      <c r="I58" t="str">
        <f>VLOOKUP(VLOOKUP(H58,Visits!A:B,2,FALSE),Pets!A:C,3,FALSE)</f>
        <v>kot</v>
      </c>
      <c r="J58">
        <f>VLOOKUP(H58,Treatments!B:G,6,FALSE)</f>
        <v>35</v>
      </c>
      <c r="L58">
        <v>58</v>
      </c>
      <c r="M58">
        <v>55</v>
      </c>
      <c r="N58" t="str">
        <f>VLOOKUP(M58,Pets!A:B,2,FALSE)</f>
        <v>Braveheart</v>
      </c>
      <c r="O58">
        <f>IFERROR(VLOOKUP(L58,Treatments!B:G,6,FALSE),0)</f>
        <v>130</v>
      </c>
      <c r="P58" t="str">
        <f>VLOOKUP(M58,Pets!A:C,3,FALSE)</f>
        <v>pies</v>
      </c>
    </row>
    <row r="59" spans="1:16" x14ac:dyDescent="0.3">
      <c r="A59">
        <v>60</v>
      </c>
      <c r="B59">
        <v>5</v>
      </c>
      <c r="C59" t="str">
        <f>VLOOKUP(B59,Vets!A:G,7,FALSE)</f>
        <v>Paweł Mazur</v>
      </c>
      <c r="D59">
        <f>VLOOKUP(E59,Treatments!A:G,7,FALSE)</f>
        <v>200</v>
      </c>
      <c r="E59">
        <v>58</v>
      </c>
      <c r="H59" s="13">
        <v>60</v>
      </c>
      <c r="I59" t="str">
        <f>VLOOKUP(VLOOKUP(H59,Visits!A:B,2,FALSE),Pets!A:C,3,FALSE)</f>
        <v>papuga</v>
      </c>
      <c r="J59">
        <f>VLOOKUP(H59,Treatments!B:G,6,FALSE)</f>
        <v>200</v>
      </c>
      <c r="L59">
        <v>59</v>
      </c>
      <c r="M59">
        <v>56</v>
      </c>
      <c r="N59" t="str">
        <f>VLOOKUP(M59,Pets!A:B,2,FALSE)</f>
        <v>Fizia</v>
      </c>
      <c r="O59">
        <f>IFERROR(VLOOKUP(L59,Treatments!B:G,6,FALSE),0)</f>
        <v>35</v>
      </c>
      <c r="P59" t="str">
        <f>VLOOKUP(M59,Pets!A:C,3,FALSE)</f>
        <v>kot</v>
      </c>
    </row>
    <row r="60" spans="1:16" x14ac:dyDescent="0.3">
      <c r="A60">
        <v>61</v>
      </c>
      <c r="B60">
        <v>1</v>
      </c>
      <c r="C60" t="str">
        <f>VLOOKUP(B60,Vets!A:G,7,FALSE)</f>
        <v>Marek Nowak</v>
      </c>
      <c r="D60">
        <f>VLOOKUP(E60,Treatments!A:G,7,FALSE)</f>
        <v>85</v>
      </c>
      <c r="E60">
        <v>59</v>
      </c>
      <c r="H60" s="12">
        <v>61</v>
      </c>
      <c r="I60" t="str">
        <f>VLOOKUP(VLOOKUP(H60,Visits!A:B,2,FALSE),Pets!A:C,3,FALSE)</f>
        <v>pies</v>
      </c>
      <c r="J60">
        <f>VLOOKUP(H60,Treatments!B:G,6,FALSE)</f>
        <v>85</v>
      </c>
      <c r="L60">
        <v>60</v>
      </c>
      <c r="M60">
        <v>57</v>
      </c>
      <c r="N60" t="str">
        <f>VLOOKUP(M60,Pets!A:B,2,FALSE)</f>
        <v>Wiesio</v>
      </c>
      <c r="O60">
        <f>IFERROR(VLOOKUP(L60,Treatments!B:G,6,FALSE),0)</f>
        <v>200</v>
      </c>
      <c r="P60" t="str">
        <f>VLOOKUP(M60,Pets!A:C,3,FALSE)</f>
        <v>papuga</v>
      </c>
    </row>
    <row r="61" spans="1:16" x14ac:dyDescent="0.3">
      <c r="A61">
        <v>62</v>
      </c>
      <c r="B61">
        <v>2</v>
      </c>
      <c r="C61" t="str">
        <f>VLOOKUP(B61,Vets!A:G,7,FALSE)</f>
        <v>Ewa Lis</v>
      </c>
      <c r="D61">
        <f>VLOOKUP(E61,Treatments!A:G,7,FALSE)</f>
        <v>300</v>
      </c>
      <c r="E61">
        <v>60</v>
      </c>
      <c r="H61" s="13">
        <v>62</v>
      </c>
      <c r="I61" t="str">
        <f>VLOOKUP(VLOOKUP(H61,Visits!A:B,2,FALSE),Pets!A:C,3,FALSE)</f>
        <v>chomik</v>
      </c>
      <c r="J61">
        <f>VLOOKUP(H61,Treatments!B:G,6,FALSE)</f>
        <v>300</v>
      </c>
      <c r="L61">
        <v>61</v>
      </c>
      <c r="M61">
        <v>58</v>
      </c>
      <c r="N61" t="str">
        <f>VLOOKUP(M61,Pets!A:B,2,FALSE)</f>
        <v>Mela</v>
      </c>
      <c r="O61">
        <f>IFERROR(VLOOKUP(L61,Treatments!B:G,6,FALSE),0)</f>
        <v>85</v>
      </c>
      <c r="P61" t="str">
        <f>VLOOKUP(M61,Pets!A:C,3,FALSE)</f>
        <v>pies</v>
      </c>
    </row>
    <row r="62" spans="1:16" x14ac:dyDescent="0.3">
      <c r="A62">
        <v>63</v>
      </c>
      <c r="B62">
        <v>3</v>
      </c>
      <c r="C62" t="str">
        <f>VLOOKUP(B62,Vets!A:G,7,FALSE)</f>
        <v>Tomasz Kaczmarek</v>
      </c>
      <c r="D62">
        <f>VLOOKUP(E62,Treatments!A:G,7,FALSE)</f>
        <v>110</v>
      </c>
      <c r="E62">
        <v>61</v>
      </c>
      <c r="H62" s="12">
        <v>63</v>
      </c>
      <c r="I62" t="str">
        <f>VLOOKUP(VLOOKUP(H62,Visits!A:B,2,FALSE),Pets!A:C,3,FALSE)</f>
        <v>pies</v>
      </c>
      <c r="J62">
        <f>VLOOKUP(H62,Treatments!B:G,6,FALSE)</f>
        <v>110</v>
      </c>
      <c r="L62">
        <v>62</v>
      </c>
      <c r="M62">
        <v>59</v>
      </c>
      <c r="N62" t="str">
        <f>VLOOKUP(M62,Pets!A:B,2,FALSE)</f>
        <v>Pistacjo</v>
      </c>
      <c r="O62">
        <f>IFERROR(VLOOKUP(L62,Treatments!B:G,6,FALSE),0)</f>
        <v>300</v>
      </c>
      <c r="P62" t="str">
        <f>VLOOKUP(M62,Pets!A:C,3,FALSE)</f>
        <v>chomik</v>
      </c>
    </row>
    <row r="63" spans="1:16" x14ac:dyDescent="0.3">
      <c r="A63">
        <v>64</v>
      </c>
      <c r="B63">
        <v>6</v>
      </c>
      <c r="C63" t="str">
        <f>VLOOKUP(B63,Vets!A:G,7,FALSE)</f>
        <v>Janusz Szymański</v>
      </c>
      <c r="D63">
        <f>VLOOKUP(E63,Treatments!A:G,7,FALSE)</f>
        <v>90</v>
      </c>
      <c r="E63">
        <v>62</v>
      </c>
      <c r="H63" s="13">
        <v>64</v>
      </c>
      <c r="I63" t="str">
        <f>VLOOKUP(VLOOKUP(H63,Visits!A:B,2,FALSE),Pets!A:C,3,FALSE)</f>
        <v>kot</v>
      </c>
      <c r="J63">
        <f>VLOOKUP(H63,Treatments!B:G,6,FALSE)</f>
        <v>90</v>
      </c>
      <c r="L63">
        <v>63</v>
      </c>
      <c r="M63">
        <v>60</v>
      </c>
      <c r="N63" t="str">
        <f>VLOOKUP(M63,Pets!A:B,2,FALSE)</f>
        <v>Diablo</v>
      </c>
      <c r="O63">
        <f>IFERROR(VLOOKUP(L63,Treatments!B:G,6,FALSE),0)</f>
        <v>110</v>
      </c>
      <c r="P63" t="str">
        <f>VLOOKUP(M63,Pets!A:C,3,FALSE)</f>
        <v>pies</v>
      </c>
    </row>
    <row r="64" spans="1:16" x14ac:dyDescent="0.3">
      <c r="A64">
        <v>65</v>
      </c>
      <c r="B64">
        <v>4</v>
      </c>
      <c r="C64" t="str">
        <f>VLOOKUP(B64,Vets!A:G,7,FALSE)</f>
        <v>Anna Wójcik</v>
      </c>
      <c r="D64">
        <f>VLOOKUP(E64,Treatments!A:G,7,FALSE)</f>
        <v>40</v>
      </c>
      <c r="E64">
        <v>63</v>
      </c>
      <c r="H64" s="12">
        <v>65</v>
      </c>
      <c r="I64" t="str">
        <f>VLOOKUP(VLOOKUP(H64,Visits!A:B,2,FALSE),Pets!A:C,3,FALSE)</f>
        <v>pies</v>
      </c>
      <c r="J64">
        <f>VLOOKUP(H64,Treatments!B:G,6,FALSE)</f>
        <v>40</v>
      </c>
      <c r="L64">
        <v>64</v>
      </c>
      <c r="M64">
        <v>61</v>
      </c>
      <c r="N64" t="str">
        <f>VLOOKUP(M64,Pets!A:B,2,FALSE)</f>
        <v>Ciastko</v>
      </c>
      <c r="O64">
        <f>IFERROR(VLOOKUP(L64,Treatments!B:G,6,FALSE),0)</f>
        <v>90</v>
      </c>
      <c r="P64" t="str">
        <f>VLOOKUP(M64,Pets!A:C,3,FALSE)</f>
        <v>kot</v>
      </c>
    </row>
    <row r="65" spans="1:16" x14ac:dyDescent="0.3">
      <c r="A65">
        <v>69</v>
      </c>
      <c r="B65">
        <v>1</v>
      </c>
      <c r="C65" t="str">
        <f>VLOOKUP(B65,Vets!A:G,7,FALSE)</f>
        <v>Marek Nowak</v>
      </c>
      <c r="D65">
        <f>VLOOKUP(E65,Treatments!A:G,7,FALSE)</f>
        <v>120</v>
      </c>
      <c r="E65">
        <v>64</v>
      </c>
      <c r="H65" s="13">
        <v>69</v>
      </c>
      <c r="I65" t="str">
        <f>VLOOKUP(VLOOKUP(H65,Visits!A:B,2,FALSE),Pets!A:C,3,FALSE)</f>
        <v>pies</v>
      </c>
      <c r="J65">
        <f>VLOOKUP(H65,Treatments!B:G,6,FALSE)</f>
        <v>120</v>
      </c>
      <c r="L65">
        <v>65</v>
      </c>
      <c r="M65">
        <v>62</v>
      </c>
      <c r="N65" t="str">
        <f>VLOOKUP(M65,Pets!A:B,2,FALSE)</f>
        <v>Wróbel</v>
      </c>
      <c r="O65">
        <f>IFERROR(VLOOKUP(L65,Treatments!B:G,6,FALSE),0)</f>
        <v>40</v>
      </c>
      <c r="P65" t="str">
        <f>VLOOKUP(M65,Pets!A:C,3,FALSE)</f>
        <v>pies</v>
      </c>
    </row>
    <row r="66" spans="1:16" x14ac:dyDescent="0.3">
      <c r="A66">
        <v>70</v>
      </c>
      <c r="B66">
        <v>2</v>
      </c>
      <c r="C66" t="str">
        <f>VLOOKUP(B66,Vets!A:G,7,FALSE)</f>
        <v>Ewa Lis</v>
      </c>
      <c r="D66">
        <f>VLOOKUP(E66,Treatments!A:G,7,FALSE)</f>
        <v>180</v>
      </c>
      <c r="E66">
        <v>65</v>
      </c>
      <c r="H66" s="12">
        <v>70</v>
      </c>
      <c r="I66" t="str">
        <f>VLOOKUP(VLOOKUP(H66,Visits!A:B,2,FALSE),Pets!A:C,3,FALSE)</f>
        <v>kot</v>
      </c>
      <c r="J66">
        <f>VLOOKUP(H66,Treatments!B:G,6,FALSE)</f>
        <v>180</v>
      </c>
      <c r="L66">
        <v>69</v>
      </c>
      <c r="M66">
        <v>66</v>
      </c>
      <c r="N66" t="str">
        <f>VLOOKUP(M66,Pets!A:B,2,FALSE)</f>
        <v>Tytan</v>
      </c>
      <c r="O66">
        <f>IFERROR(VLOOKUP(L66,Treatments!B:G,6,FALSE),0)</f>
        <v>120</v>
      </c>
      <c r="P66" t="str">
        <f>VLOOKUP(M66,Pets!A:C,3,FALSE)</f>
        <v>pies</v>
      </c>
    </row>
    <row r="67" spans="1:16" x14ac:dyDescent="0.3">
      <c r="A67">
        <v>71</v>
      </c>
      <c r="B67">
        <v>3</v>
      </c>
      <c r="C67" t="str">
        <f>VLOOKUP(B67,Vets!A:G,7,FALSE)</f>
        <v>Tomasz Kaczmarek</v>
      </c>
      <c r="D67">
        <f>VLOOKUP(E67,Treatments!A:G,7,FALSE)</f>
        <v>1200</v>
      </c>
      <c r="E67">
        <v>66</v>
      </c>
      <c r="H67" s="13">
        <v>71</v>
      </c>
      <c r="I67" t="str">
        <f>VLOOKUP(VLOOKUP(H67,Visits!A:B,2,FALSE),Pets!A:C,3,FALSE)</f>
        <v>pies</v>
      </c>
      <c r="J67">
        <f>VLOOKUP(H67,Treatments!B:G,6,FALSE)</f>
        <v>1200</v>
      </c>
      <c r="L67">
        <v>70</v>
      </c>
      <c r="M67">
        <v>67</v>
      </c>
      <c r="N67" t="str">
        <f>VLOOKUP(M67,Pets!A:B,2,FALSE)</f>
        <v>Iskra</v>
      </c>
      <c r="O67">
        <f>IFERROR(VLOOKUP(L67,Treatments!B:G,6,FALSE),0)</f>
        <v>180</v>
      </c>
      <c r="P67" t="str">
        <f>VLOOKUP(M67,Pets!A:C,3,FALSE)</f>
        <v>kot</v>
      </c>
    </row>
    <row r="68" spans="1:16" x14ac:dyDescent="0.3">
      <c r="A68">
        <v>72</v>
      </c>
      <c r="B68">
        <v>5</v>
      </c>
      <c r="C68" t="str">
        <f>VLOOKUP(B68,Vets!A:G,7,FALSE)</f>
        <v>Paweł Mazur</v>
      </c>
      <c r="D68">
        <f>VLOOKUP(E68,Treatments!A:G,7,FALSE)</f>
        <v>65</v>
      </c>
      <c r="E68">
        <v>67</v>
      </c>
      <c r="H68" s="12">
        <v>72</v>
      </c>
      <c r="I68" t="str">
        <f>VLOOKUP(VLOOKUP(H68,Visits!A:B,2,FALSE),Pets!A:C,3,FALSE)</f>
        <v>kot</v>
      </c>
      <c r="J68">
        <f>VLOOKUP(H68,Treatments!B:G,6,FALSE)</f>
        <v>65</v>
      </c>
      <c r="L68">
        <v>71</v>
      </c>
      <c r="M68">
        <v>68</v>
      </c>
      <c r="N68" t="str">
        <f>VLOOKUP(M68,Pets!A:B,2,FALSE)</f>
        <v>Ptyś</v>
      </c>
      <c r="O68">
        <f>IFERROR(VLOOKUP(L68,Treatments!B:G,6,FALSE),0)</f>
        <v>1200</v>
      </c>
      <c r="P68" t="str">
        <f>VLOOKUP(M68,Pets!A:C,3,FALSE)</f>
        <v>pies</v>
      </c>
    </row>
    <row r="69" spans="1:16" x14ac:dyDescent="0.3">
      <c r="A69">
        <v>73</v>
      </c>
      <c r="B69">
        <v>6</v>
      </c>
      <c r="C69" t="str">
        <f>VLOOKUP(B69,Vets!A:G,7,FALSE)</f>
        <v>Janusz Szymański</v>
      </c>
      <c r="D69">
        <f>VLOOKUP(E69,Treatments!A:G,7,FALSE)</f>
        <v>60</v>
      </c>
      <c r="E69">
        <v>68</v>
      </c>
      <c r="H69" s="13">
        <v>73</v>
      </c>
      <c r="I69" t="str">
        <f>VLOOKUP(VLOOKUP(H69,Visits!A:B,2,FALSE),Pets!A:C,3,FALSE)</f>
        <v>królik</v>
      </c>
      <c r="J69">
        <f>VLOOKUP(H69,Treatments!B:G,6,FALSE)</f>
        <v>60</v>
      </c>
      <c r="L69">
        <v>72</v>
      </c>
      <c r="M69">
        <v>69</v>
      </c>
      <c r="N69" t="str">
        <f>VLOOKUP(M69,Pets!A:B,2,FALSE)</f>
        <v>Mariolka</v>
      </c>
      <c r="O69">
        <f>IFERROR(VLOOKUP(L69,Treatments!B:G,6,FALSE),0)</f>
        <v>65</v>
      </c>
      <c r="P69" t="str">
        <f>VLOOKUP(M69,Pets!A:C,3,FALSE)</f>
        <v>kot</v>
      </c>
    </row>
    <row r="70" spans="1:16" x14ac:dyDescent="0.3">
      <c r="A70">
        <v>76</v>
      </c>
      <c r="B70">
        <v>4</v>
      </c>
      <c r="C70" t="str">
        <f>VLOOKUP(B70,Vets!A:G,7,FALSE)</f>
        <v>Anna Wójcik</v>
      </c>
      <c r="D70">
        <f>VLOOKUP(E70,Treatments!A:G,7,FALSE)</f>
        <v>40</v>
      </c>
      <c r="E70">
        <v>69</v>
      </c>
      <c r="H70" s="12">
        <v>76</v>
      </c>
      <c r="I70" t="str">
        <f>VLOOKUP(VLOOKUP(H70,Visits!A:B,2,FALSE),Pets!A:C,3,FALSE)</f>
        <v>pies</v>
      </c>
      <c r="J70">
        <f>VLOOKUP(H70,Treatments!B:G,6,FALSE)</f>
        <v>40</v>
      </c>
      <c r="L70">
        <v>73</v>
      </c>
      <c r="M70">
        <v>70</v>
      </c>
      <c r="N70" t="str">
        <f>VLOOKUP(M70,Pets!A:B,2,FALSE)</f>
        <v>Pępek</v>
      </c>
      <c r="O70">
        <f>IFERROR(VLOOKUP(L70,Treatments!B:G,6,FALSE),0)</f>
        <v>60</v>
      </c>
      <c r="P70" t="str">
        <f>VLOOKUP(M70,Pets!A:C,3,FALSE)</f>
        <v>królik</v>
      </c>
    </row>
    <row r="71" spans="1:16" x14ac:dyDescent="0.3">
      <c r="A71">
        <v>77</v>
      </c>
      <c r="B71">
        <v>1</v>
      </c>
      <c r="C71" t="str">
        <f>VLOOKUP(B71,Vets!A:G,7,FALSE)</f>
        <v>Marek Nowak</v>
      </c>
      <c r="D71">
        <f>VLOOKUP(E71,Treatments!A:G,7,FALSE)</f>
        <v>50</v>
      </c>
      <c r="E71">
        <v>70</v>
      </c>
      <c r="H71" s="13">
        <v>77</v>
      </c>
      <c r="I71" t="str">
        <f>VLOOKUP(VLOOKUP(H71,Visits!A:B,2,FALSE),Pets!A:C,3,FALSE)</f>
        <v>papuga</v>
      </c>
      <c r="J71">
        <f>VLOOKUP(H71,Treatments!B:G,6,FALSE)</f>
        <v>50</v>
      </c>
      <c r="L71">
        <v>76</v>
      </c>
      <c r="M71">
        <v>73</v>
      </c>
      <c r="N71" t="str">
        <f>VLOOKUP(M71,Pets!A:B,2,FALSE)</f>
        <v>Leon</v>
      </c>
      <c r="O71">
        <f>IFERROR(VLOOKUP(L71,Treatments!B:G,6,FALSE),0)</f>
        <v>40</v>
      </c>
      <c r="P71" t="str">
        <f>VLOOKUP(M71,Pets!A:C,3,FALSE)</f>
        <v>pies</v>
      </c>
    </row>
    <row r="72" spans="1:16" x14ac:dyDescent="0.3">
      <c r="A72">
        <v>78</v>
      </c>
      <c r="B72">
        <v>2</v>
      </c>
      <c r="C72" t="str">
        <f>VLOOKUP(B72,Vets!A:G,7,FALSE)</f>
        <v>Ewa Lis</v>
      </c>
      <c r="D72">
        <f>VLOOKUP(E72,Treatments!A:G,7,FALSE)</f>
        <v>100</v>
      </c>
      <c r="E72">
        <v>71</v>
      </c>
      <c r="H72" s="12">
        <v>78</v>
      </c>
      <c r="I72" t="str">
        <f>VLOOKUP(VLOOKUP(H72,Visits!A:B,2,FALSE),Pets!A:C,3,FALSE)</f>
        <v>kot</v>
      </c>
      <c r="J72">
        <f>VLOOKUP(H72,Treatments!B:G,6,FALSE)</f>
        <v>100</v>
      </c>
      <c r="L72">
        <v>77</v>
      </c>
      <c r="M72">
        <v>74</v>
      </c>
      <c r="N72" t="str">
        <f>VLOOKUP(M72,Pets!A:B,2,FALSE)</f>
        <v>Koko</v>
      </c>
      <c r="O72">
        <f>IFERROR(VLOOKUP(L72,Treatments!B:G,6,FALSE),0)</f>
        <v>50</v>
      </c>
      <c r="P72" t="str">
        <f>VLOOKUP(M72,Pets!A:C,3,FALSE)</f>
        <v>papuga</v>
      </c>
    </row>
    <row r="73" spans="1:16" x14ac:dyDescent="0.3">
      <c r="A73">
        <v>79</v>
      </c>
      <c r="B73">
        <v>5</v>
      </c>
      <c r="C73" t="str">
        <f>VLOOKUP(B73,Vets!A:G,7,FALSE)</f>
        <v>Paweł Mazur</v>
      </c>
      <c r="D73">
        <f>VLOOKUP(E73,Treatments!A:G,7,FALSE)</f>
        <v>40</v>
      </c>
      <c r="E73">
        <v>72</v>
      </c>
      <c r="H73" s="13">
        <v>79</v>
      </c>
      <c r="I73" t="str">
        <f>VLOOKUP(VLOOKUP(H73,Visits!A:B,2,FALSE),Pets!A:C,3,FALSE)</f>
        <v>pies</v>
      </c>
      <c r="J73">
        <f>VLOOKUP(H73,Treatments!B:G,6,FALSE)</f>
        <v>40</v>
      </c>
      <c r="L73">
        <v>78</v>
      </c>
      <c r="M73">
        <v>75</v>
      </c>
      <c r="N73" t="str">
        <f>VLOOKUP(M73,Pets!A:B,2,FALSE)</f>
        <v>Tosia</v>
      </c>
      <c r="O73">
        <f>IFERROR(VLOOKUP(L73,Treatments!B:G,6,FALSE),0)</f>
        <v>100</v>
      </c>
      <c r="P73" t="str">
        <f>VLOOKUP(M73,Pets!A:C,3,FALSE)</f>
        <v>kot</v>
      </c>
    </row>
    <row r="74" spans="1:16" x14ac:dyDescent="0.3">
      <c r="A74">
        <v>80</v>
      </c>
      <c r="B74">
        <v>3</v>
      </c>
      <c r="C74" t="str">
        <f>VLOOKUP(B74,Vets!A:G,7,FALSE)</f>
        <v>Tomasz Kaczmarek</v>
      </c>
      <c r="D74">
        <f>VLOOKUP(E74,Treatments!A:G,7,FALSE)</f>
        <v>110</v>
      </c>
      <c r="E74">
        <v>73</v>
      </c>
      <c r="H74" s="12">
        <v>80</v>
      </c>
      <c r="I74" t="str">
        <f>VLOOKUP(VLOOKUP(H74,Visits!A:B,2,FALSE),Pets!A:C,3,FALSE)</f>
        <v>pies</v>
      </c>
      <c r="J74">
        <f>VLOOKUP(H74,Treatments!B:G,6,FALSE)</f>
        <v>110</v>
      </c>
      <c r="L74">
        <v>79</v>
      </c>
      <c r="M74">
        <v>76</v>
      </c>
      <c r="N74" t="str">
        <f>VLOOKUP(M74,Pets!A:B,2,FALSE)</f>
        <v>Rufi</v>
      </c>
      <c r="O74">
        <f>IFERROR(VLOOKUP(L74,Treatments!B:G,6,FALSE),0)</f>
        <v>40</v>
      </c>
      <c r="P74" t="str">
        <f>VLOOKUP(M74,Pets!A:C,3,FALSE)</f>
        <v>pies</v>
      </c>
    </row>
    <row r="75" spans="1:16" x14ac:dyDescent="0.3">
      <c r="A75">
        <v>81</v>
      </c>
      <c r="B75">
        <v>6</v>
      </c>
      <c r="C75" t="str">
        <f>VLOOKUP(B75,Vets!A:G,7,FALSE)</f>
        <v>Janusz Szymański</v>
      </c>
      <c r="D75">
        <f>VLOOKUP(E75,Treatments!A:G,7,FALSE)</f>
        <v>60</v>
      </c>
      <c r="E75">
        <v>74</v>
      </c>
      <c r="H75" s="13">
        <v>81</v>
      </c>
      <c r="I75" t="str">
        <f>VLOOKUP(VLOOKUP(H75,Visits!A:B,2,FALSE),Pets!A:C,3,FALSE)</f>
        <v>pies</v>
      </c>
      <c r="J75">
        <f>VLOOKUP(H75,Treatments!B:G,6,FALSE)</f>
        <v>60</v>
      </c>
      <c r="L75">
        <v>80</v>
      </c>
      <c r="M75">
        <v>77</v>
      </c>
      <c r="N75" t="str">
        <f>VLOOKUP(M75,Pets!A:B,2,FALSE)</f>
        <v>Fado</v>
      </c>
      <c r="O75">
        <f>IFERROR(VLOOKUP(L75,Treatments!B:G,6,FALSE),0)</f>
        <v>110</v>
      </c>
      <c r="P75" t="str">
        <f>VLOOKUP(M75,Pets!A:C,3,FALSE)</f>
        <v>pies</v>
      </c>
    </row>
    <row r="76" spans="1:16" x14ac:dyDescent="0.3">
      <c r="A76">
        <v>82</v>
      </c>
      <c r="B76">
        <v>1</v>
      </c>
      <c r="C76" t="str">
        <f>VLOOKUP(B76,Vets!A:G,7,FALSE)</f>
        <v>Marek Nowak</v>
      </c>
      <c r="D76">
        <f>VLOOKUP(E76,Treatments!A:G,7,FALSE)</f>
        <v>80</v>
      </c>
      <c r="E76">
        <v>75</v>
      </c>
      <c r="H76" s="12">
        <v>82</v>
      </c>
      <c r="I76" t="str">
        <f>VLOOKUP(VLOOKUP(H76,Visits!A:B,2,FALSE),Pets!A:C,3,FALSE)</f>
        <v>kot</v>
      </c>
      <c r="J76">
        <f>VLOOKUP(H76,Treatments!B:G,6,FALSE)</f>
        <v>80</v>
      </c>
      <c r="L76">
        <v>81</v>
      </c>
      <c r="M76">
        <v>78</v>
      </c>
      <c r="N76" t="str">
        <f>VLOOKUP(M76,Pets!A:B,2,FALSE)</f>
        <v>Nela</v>
      </c>
      <c r="O76">
        <f>IFERROR(VLOOKUP(L76,Treatments!B:G,6,FALSE),0)</f>
        <v>60</v>
      </c>
      <c r="P76" t="str">
        <f>VLOOKUP(M76,Pets!A:C,3,FALSE)</f>
        <v>pies</v>
      </c>
    </row>
    <row r="77" spans="1:16" x14ac:dyDescent="0.3">
      <c r="A77">
        <v>83</v>
      </c>
      <c r="B77">
        <v>2</v>
      </c>
      <c r="C77" t="str">
        <f>VLOOKUP(B77,Vets!A:G,7,FALSE)</f>
        <v>Ewa Lis</v>
      </c>
      <c r="D77">
        <f>VLOOKUP(E77,Treatments!A:G,7,FALSE)</f>
        <v>100</v>
      </c>
      <c r="E77">
        <v>76</v>
      </c>
      <c r="H77" s="13">
        <v>83</v>
      </c>
      <c r="I77" t="str">
        <f>VLOOKUP(VLOOKUP(H77,Visits!A:B,2,FALSE),Pets!A:C,3,FALSE)</f>
        <v>kot</v>
      </c>
      <c r="J77">
        <f>VLOOKUP(H77,Treatments!B:G,6,FALSE)</f>
        <v>100</v>
      </c>
      <c r="L77">
        <v>82</v>
      </c>
      <c r="M77">
        <v>14</v>
      </c>
      <c r="N77" t="str">
        <f>VLOOKUP(M77,Pets!A:B,2,FALSE)</f>
        <v>Luna</v>
      </c>
      <c r="O77">
        <f>IFERROR(VLOOKUP(L77,Treatments!B:G,6,FALSE),0)</f>
        <v>80</v>
      </c>
      <c r="P77" t="str">
        <f>VLOOKUP(M77,Pets!A:C,3,FALSE)</f>
        <v>kot</v>
      </c>
    </row>
    <row r="78" spans="1:16" x14ac:dyDescent="0.3">
      <c r="A78">
        <v>84</v>
      </c>
      <c r="B78">
        <v>6</v>
      </c>
      <c r="C78" t="str">
        <f>VLOOKUP(B78,Vets!A:G,7,FALSE)</f>
        <v>Janusz Szymański</v>
      </c>
      <c r="D78">
        <f>VLOOKUP(E78,Treatments!A:G,7,FALSE)</f>
        <v>110</v>
      </c>
      <c r="E78">
        <v>77</v>
      </c>
      <c r="H78" s="12">
        <v>84</v>
      </c>
      <c r="I78" t="str">
        <f>VLOOKUP(VLOOKUP(H78,Visits!A:B,2,FALSE),Pets!A:C,3,FALSE)</f>
        <v>pies</v>
      </c>
      <c r="J78">
        <f>VLOOKUP(H78,Treatments!B:G,6,FALSE)</f>
        <v>110</v>
      </c>
      <c r="L78">
        <v>83</v>
      </c>
      <c r="M78">
        <v>20</v>
      </c>
      <c r="N78" t="str">
        <f>VLOOKUP(M78,Pets!A:B,2,FALSE)</f>
        <v>Perełka</v>
      </c>
      <c r="O78">
        <f>IFERROR(VLOOKUP(L78,Treatments!B:G,6,FALSE),0)</f>
        <v>100</v>
      </c>
      <c r="P78" t="str">
        <f>VLOOKUP(M78,Pets!A:C,3,FALSE)</f>
        <v>kot</v>
      </c>
    </row>
    <row r="79" spans="1:16" x14ac:dyDescent="0.3">
      <c r="A79">
        <v>85</v>
      </c>
      <c r="B79">
        <v>1</v>
      </c>
      <c r="C79" t="str">
        <f>VLOOKUP(B79,Vets!A:G,7,FALSE)</f>
        <v>Marek Nowak</v>
      </c>
      <c r="D79">
        <f>VLOOKUP(E79,Treatments!A:G,7,FALSE)</f>
        <v>40</v>
      </c>
      <c r="E79">
        <v>78</v>
      </c>
      <c r="H79" s="13">
        <v>85</v>
      </c>
      <c r="I79" t="str">
        <f>VLOOKUP(VLOOKUP(H79,Visits!A:B,2,FALSE),Pets!A:C,3,FALSE)</f>
        <v>pies</v>
      </c>
      <c r="J79">
        <f>VLOOKUP(H79,Treatments!B:G,6,FALSE)</f>
        <v>40</v>
      </c>
      <c r="L79">
        <v>84</v>
      </c>
      <c r="M79">
        <v>22</v>
      </c>
      <c r="N79" t="str">
        <f>VLOOKUP(M79,Pets!A:B,2,FALSE)</f>
        <v>Zara</v>
      </c>
      <c r="O79">
        <f>IFERROR(VLOOKUP(L79,Treatments!B:G,6,FALSE),0)</f>
        <v>110</v>
      </c>
      <c r="P79" t="str">
        <f>VLOOKUP(M79,Pets!A:C,3,FALSE)</f>
        <v>pies</v>
      </c>
    </row>
    <row r="80" spans="1:16" x14ac:dyDescent="0.3">
      <c r="A80">
        <v>86</v>
      </c>
      <c r="B80">
        <v>6</v>
      </c>
      <c r="C80" t="str">
        <f>VLOOKUP(B80,Vets!A:G,7,FALSE)</f>
        <v>Janusz Szymański</v>
      </c>
      <c r="D80">
        <f>VLOOKUP(E80,Treatments!A:G,7,FALSE)</f>
        <v>70</v>
      </c>
      <c r="E80">
        <v>79</v>
      </c>
      <c r="H80" s="12">
        <v>86</v>
      </c>
      <c r="I80" t="str">
        <f>VLOOKUP(VLOOKUP(H80,Visits!A:B,2,FALSE),Pets!A:C,3,FALSE)</f>
        <v>pies</v>
      </c>
      <c r="J80">
        <f>VLOOKUP(H80,Treatments!B:G,6,FALSE)</f>
        <v>70</v>
      </c>
      <c r="L80">
        <v>85</v>
      </c>
      <c r="M80">
        <v>30</v>
      </c>
      <c r="N80" t="str">
        <f>VLOOKUP(M80,Pets!A:B,2,FALSE)</f>
        <v>Atlas</v>
      </c>
      <c r="O80">
        <f>IFERROR(VLOOKUP(L80,Treatments!B:G,6,FALSE),0)</f>
        <v>40</v>
      </c>
      <c r="P80" t="str">
        <f>VLOOKUP(M80,Pets!A:C,3,FALSE)</f>
        <v>pies</v>
      </c>
    </row>
    <row r="81" spans="1:16" x14ac:dyDescent="0.3">
      <c r="A81">
        <v>87</v>
      </c>
      <c r="B81">
        <v>5</v>
      </c>
      <c r="C81" t="str">
        <f>VLOOKUP(B81,Vets!A:G,7,FALSE)</f>
        <v>Paweł Mazur</v>
      </c>
      <c r="D81">
        <f>VLOOKUP(E81,Treatments!A:G,7,FALSE)</f>
        <v>90</v>
      </c>
      <c r="E81">
        <v>80</v>
      </c>
      <c r="H81" s="13">
        <v>87</v>
      </c>
      <c r="I81" t="str">
        <f>VLOOKUP(VLOOKUP(H81,Visits!A:B,2,FALSE),Pets!A:C,3,FALSE)</f>
        <v>kot</v>
      </c>
      <c r="J81">
        <f>VLOOKUP(H81,Treatments!B:G,6,FALSE)</f>
        <v>90</v>
      </c>
      <c r="L81">
        <v>86</v>
      </c>
      <c r="M81">
        <v>34</v>
      </c>
      <c r="N81" t="str">
        <f>VLOOKUP(M81,Pets!A:B,2,FALSE)</f>
        <v>Reksio</v>
      </c>
      <c r="O81">
        <f>IFERROR(VLOOKUP(L81,Treatments!B:G,6,FALSE),0)</f>
        <v>70</v>
      </c>
      <c r="P81" t="str">
        <f>VLOOKUP(M81,Pets!A:C,3,FALSE)</f>
        <v>pies</v>
      </c>
    </row>
    <row r="82" spans="1:16" x14ac:dyDescent="0.3">
      <c r="A82">
        <v>88</v>
      </c>
      <c r="B82">
        <v>1</v>
      </c>
      <c r="C82" t="str">
        <f>VLOOKUP(B82,Vets!A:G,7,FALSE)</f>
        <v>Marek Nowak</v>
      </c>
      <c r="D82">
        <f>VLOOKUP(E82,Treatments!A:G,7,FALSE)</f>
        <v>40</v>
      </c>
      <c r="E82">
        <v>81</v>
      </c>
      <c r="H82" s="12">
        <v>88</v>
      </c>
      <c r="I82" t="str">
        <f>VLOOKUP(VLOOKUP(H82,Visits!A:B,2,FALSE),Pets!A:C,3,FALSE)</f>
        <v>królik</v>
      </c>
      <c r="J82">
        <f>VLOOKUP(H82,Treatments!B:G,6,FALSE)</f>
        <v>40</v>
      </c>
      <c r="L82">
        <v>87</v>
      </c>
      <c r="M82">
        <v>36</v>
      </c>
      <c r="N82" t="str">
        <f>VLOOKUP(M82,Pets!A:B,2,FALSE)</f>
        <v>Kleopatra</v>
      </c>
      <c r="O82">
        <f>IFERROR(VLOOKUP(L82,Treatments!B:G,6,FALSE),0)</f>
        <v>90</v>
      </c>
      <c r="P82" t="str">
        <f>VLOOKUP(M82,Pets!A:C,3,FALSE)</f>
        <v>kot</v>
      </c>
    </row>
    <row r="83" spans="1:16" x14ac:dyDescent="0.3">
      <c r="A83">
        <v>89</v>
      </c>
      <c r="B83">
        <v>3</v>
      </c>
      <c r="C83" t="str">
        <f>VLOOKUP(B83,Vets!A:G,7,FALSE)</f>
        <v>Tomasz Kaczmarek</v>
      </c>
      <c r="D83">
        <f>VLOOKUP(E83,Treatments!A:G,7,FALSE)</f>
        <v>110</v>
      </c>
      <c r="E83">
        <v>82</v>
      </c>
      <c r="H83" s="13">
        <v>89</v>
      </c>
      <c r="I83" t="str">
        <f>VLOOKUP(VLOOKUP(H83,Visits!A:B,2,FALSE),Pets!A:C,3,FALSE)</f>
        <v>pies</v>
      </c>
      <c r="J83">
        <f>VLOOKUP(H83,Treatments!B:G,6,FALSE)</f>
        <v>110</v>
      </c>
      <c r="L83">
        <v>88</v>
      </c>
      <c r="M83">
        <v>42</v>
      </c>
      <c r="N83" t="str">
        <f>VLOOKUP(M83,Pets!A:B,2,FALSE)</f>
        <v>Puch</v>
      </c>
      <c r="O83">
        <f>IFERROR(VLOOKUP(L83,Treatments!B:G,6,FALSE),0)</f>
        <v>40</v>
      </c>
      <c r="P83" t="str">
        <f>VLOOKUP(M83,Pets!A:C,3,FALSE)</f>
        <v>królik</v>
      </c>
    </row>
    <row r="84" spans="1:16" x14ac:dyDescent="0.3">
      <c r="A84">
        <v>90</v>
      </c>
      <c r="B84">
        <v>6</v>
      </c>
      <c r="C84" t="str">
        <f>VLOOKUP(B84,Vets!A:G,7,FALSE)</f>
        <v>Janusz Szymański</v>
      </c>
      <c r="D84">
        <f>VLOOKUP(E84,Treatments!A:G,7,FALSE)</f>
        <v>80</v>
      </c>
      <c r="E84">
        <v>83</v>
      </c>
      <c r="H84" s="12">
        <v>90</v>
      </c>
      <c r="I84" t="str">
        <f>VLOOKUP(VLOOKUP(H84,Visits!A:B,2,FALSE),Pets!A:C,3,FALSE)</f>
        <v>pies</v>
      </c>
      <c r="J84">
        <f>VLOOKUP(H84,Treatments!B:G,6,FALSE)</f>
        <v>80</v>
      </c>
      <c r="L84">
        <v>89</v>
      </c>
      <c r="M84">
        <v>43</v>
      </c>
      <c r="N84" t="str">
        <f>VLOOKUP(M84,Pets!A:B,2,FALSE)</f>
        <v>Samson</v>
      </c>
      <c r="O84">
        <f>IFERROR(VLOOKUP(L84,Treatments!B:G,6,FALSE),0)</f>
        <v>110</v>
      </c>
      <c r="P84" t="str">
        <f>VLOOKUP(M84,Pets!A:C,3,FALSE)</f>
        <v>pies</v>
      </c>
    </row>
    <row r="85" spans="1:16" x14ac:dyDescent="0.3">
      <c r="A85">
        <v>91</v>
      </c>
      <c r="B85">
        <v>1</v>
      </c>
      <c r="C85" t="str">
        <f>VLOOKUP(B85,Vets!A:G,7,FALSE)</f>
        <v>Marek Nowak</v>
      </c>
      <c r="D85">
        <f>VLOOKUP(E85,Treatments!A:G,7,FALSE)</f>
        <v>60</v>
      </c>
      <c r="E85">
        <v>84</v>
      </c>
      <c r="H85" s="13">
        <v>91</v>
      </c>
      <c r="I85" t="str">
        <f>VLOOKUP(VLOOKUP(H85,Visits!A:B,2,FALSE),Pets!A:C,3,FALSE)</f>
        <v>kot</v>
      </c>
      <c r="J85">
        <f>VLOOKUP(H85,Treatments!B:G,6,FALSE)</f>
        <v>60</v>
      </c>
      <c r="L85">
        <v>90</v>
      </c>
      <c r="M85">
        <v>46</v>
      </c>
      <c r="N85" t="str">
        <f>VLOOKUP(M85,Pets!A:B,2,FALSE)</f>
        <v>Zuzia</v>
      </c>
      <c r="O85">
        <f>IFERROR(VLOOKUP(L85,Treatments!B:G,6,FALSE),0)</f>
        <v>80</v>
      </c>
      <c r="P85" t="str">
        <f>VLOOKUP(M85,Pets!A:C,3,FALSE)</f>
        <v>pies</v>
      </c>
    </row>
    <row r="86" spans="1:16" x14ac:dyDescent="0.3">
      <c r="A86">
        <v>92</v>
      </c>
      <c r="B86">
        <v>4</v>
      </c>
      <c r="C86" t="str">
        <f>VLOOKUP(B86,Vets!A:G,7,FALSE)</f>
        <v>Anna Wójcik</v>
      </c>
      <c r="D86">
        <f>VLOOKUP(E86,Treatments!A:G,7,FALSE)</f>
        <v>70</v>
      </c>
      <c r="E86">
        <v>85</v>
      </c>
      <c r="H86" s="12">
        <v>92</v>
      </c>
      <c r="I86" t="str">
        <f>VLOOKUP(VLOOKUP(H86,Visits!A:B,2,FALSE),Pets!A:C,3,FALSE)</f>
        <v>kot</v>
      </c>
      <c r="J86">
        <f>VLOOKUP(H86,Treatments!B:G,6,FALSE)</f>
        <v>70</v>
      </c>
      <c r="L86">
        <v>91</v>
      </c>
      <c r="M86">
        <v>48</v>
      </c>
      <c r="N86" t="str">
        <f>VLOOKUP(M86,Pets!A:B,2,FALSE)</f>
        <v>Kleks</v>
      </c>
      <c r="O86">
        <f>IFERROR(VLOOKUP(L86,Treatments!B:G,6,FALSE),0)</f>
        <v>60</v>
      </c>
      <c r="P86" t="str">
        <f>VLOOKUP(M86,Pets!A:C,3,FALSE)</f>
        <v>kot</v>
      </c>
    </row>
    <row r="87" spans="1:16" x14ac:dyDescent="0.3">
      <c r="A87">
        <v>93</v>
      </c>
      <c r="B87">
        <v>3</v>
      </c>
      <c r="C87" t="str">
        <f>VLOOKUP(B87,Vets!A:G,7,FALSE)</f>
        <v>Tomasz Kaczmarek</v>
      </c>
      <c r="D87">
        <f>VLOOKUP(E87,Treatments!A:G,7,FALSE)</f>
        <v>100</v>
      </c>
      <c r="E87">
        <v>86</v>
      </c>
      <c r="H87" s="13">
        <v>93</v>
      </c>
      <c r="I87" t="str">
        <f>VLOOKUP(VLOOKUP(H87,Visits!A:B,2,FALSE),Pets!A:C,3,FALSE)</f>
        <v>kot</v>
      </c>
      <c r="J87">
        <f>VLOOKUP(H87,Treatments!B:G,6,FALSE)</f>
        <v>100</v>
      </c>
      <c r="L87">
        <v>92</v>
      </c>
      <c r="M87">
        <v>50</v>
      </c>
      <c r="N87" t="str">
        <f>VLOOKUP(M87,Pets!A:B,2,FALSE)</f>
        <v>Oreo</v>
      </c>
      <c r="O87">
        <f>IFERROR(VLOOKUP(L87,Treatments!B:G,6,FALSE),0)</f>
        <v>70</v>
      </c>
      <c r="P87" t="str">
        <f>VLOOKUP(M87,Pets!A:C,3,FALSE)</f>
        <v>kot</v>
      </c>
    </row>
    <row r="88" spans="1:16" x14ac:dyDescent="0.3">
      <c r="A88">
        <v>94</v>
      </c>
      <c r="B88">
        <v>1</v>
      </c>
      <c r="C88" t="str">
        <f>VLOOKUP(B88,Vets!A:G,7,FALSE)</f>
        <v>Marek Nowak</v>
      </c>
      <c r="D88">
        <f>VLOOKUP(E88,Treatments!A:G,7,FALSE)</f>
        <v>80</v>
      </c>
      <c r="E88">
        <v>87</v>
      </c>
      <c r="H88" s="12">
        <v>94</v>
      </c>
      <c r="I88" t="str">
        <f>VLOOKUP(VLOOKUP(H88,Visits!A:B,2,FALSE),Pets!A:C,3,FALSE)</f>
        <v>pies</v>
      </c>
      <c r="J88">
        <f>VLOOKUP(H88,Treatments!B:G,6,FALSE)</f>
        <v>80</v>
      </c>
      <c r="L88">
        <v>93</v>
      </c>
      <c r="M88">
        <v>54</v>
      </c>
      <c r="N88" t="str">
        <f>VLOOKUP(M88,Pets!A:B,2,FALSE)</f>
        <v>Tulipan</v>
      </c>
      <c r="O88">
        <f>IFERROR(VLOOKUP(L88,Treatments!B:G,6,FALSE),0)</f>
        <v>100</v>
      </c>
      <c r="P88" t="str">
        <f>VLOOKUP(M88,Pets!A:C,3,FALSE)</f>
        <v>kot</v>
      </c>
    </row>
    <row r="89" spans="1:16" x14ac:dyDescent="0.3">
      <c r="A89">
        <v>95</v>
      </c>
      <c r="B89">
        <v>3</v>
      </c>
      <c r="C89" t="str">
        <f>VLOOKUP(B89,Vets!A:G,7,FALSE)</f>
        <v>Tomasz Kaczmarek</v>
      </c>
      <c r="D89">
        <f>VLOOKUP(E89,Treatments!A:G,7,FALSE)</f>
        <v>50</v>
      </c>
      <c r="E89">
        <v>88</v>
      </c>
      <c r="H89" s="13">
        <v>95</v>
      </c>
      <c r="I89" t="str">
        <f>VLOOKUP(VLOOKUP(H89,Visits!A:B,2,FALSE),Pets!A:C,3,FALSE)</f>
        <v>pies</v>
      </c>
      <c r="J89">
        <f>VLOOKUP(H89,Treatments!B:G,6,FALSE)</f>
        <v>50</v>
      </c>
      <c r="L89">
        <v>94</v>
      </c>
      <c r="M89">
        <v>58</v>
      </c>
      <c r="N89" t="str">
        <f>VLOOKUP(M89,Pets!A:B,2,FALSE)</f>
        <v>Mela</v>
      </c>
      <c r="O89">
        <f>IFERROR(VLOOKUP(L89,Treatments!B:G,6,FALSE),0)</f>
        <v>80</v>
      </c>
      <c r="P89" t="str">
        <f>VLOOKUP(M89,Pets!A:C,3,FALSE)</f>
        <v>pies</v>
      </c>
    </row>
    <row r="90" spans="1:16" x14ac:dyDescent="0.3">
      <c r="A90">
        <v>96</v>
      </c>
      <c r="B90">
        <v>4</v>
      </c>
      <c r="C90" t="str">
        <f>VLOOKUP(B90,Vets!A:G,7,FALSE)</f>
        <v>Anna Wójcik</v>
      </c>
      <c r="D90">
        <f>VLOOKUP(E90,Treatments!A:G,7,FALSE)</f>
        <v>50</v>
      </c>
      <c r="E90">
        <v>89</v>
      </c>
      <c r="H90" s="12">
        <v>96</v>
      </c>
      <c r="I90" t="str">
        <f>VLOOKUP(VLOOKUP(H90,Visits!A:B,2,FALSE),Pets!A:C,3,FALSE)</f>
        <v>pies</v>
      </c>
      <c r="J90">
        <f>VLOOKUP(H90,Treatments!B:G,6,FALSE)</f>
        <v>50</v>
      </c>
      <c r="L90">
        <v>95</v>
      </c>
      <c r="M90">
        <v>60</v>
      </c>
      <c r="N90" t="str">
        <f>VLOOKUP(M90,Pets!A:B,2,FALSE)</f>
        <v>Diablo</v>
      </c>
      <c r="O90">
        <f>IFERROR(VLOOKUP(L90,Treatments!B:G,6,FALSE),0)</f>
        <v>50</v>
      </c>
      <c r="P90" t="str">
        <f>VLOOKUP(M90,Pets!A:C,3,FALSE)</f>
        <v>pies</v>
      </c>
    </row>
    <row r="91" spans="1:16" x14ac:dyDescent="0.3">
      <c r="A91">
        <v>97</v>
      </c>
      <c r="B91">
        <v>1</v>
      </c>
      <c r="C91" t="str">
        <f>VLOOKUP(B91,Vets!A:G,7,FALSE)</f>
        <v>Marek Nowak</v>
      </c>
      <c r="D91">
        <f>VLOOKUP(E91,Treatments!A:G,7,FALSE)</f>
        <v>100</v>
      </c>
      <c r="E91">
        <v>90</v>
      </c>
      <c r="H91" s="13">
        <v>97</v>
      </c>
      <c r="I91" t="str">
        <f>VLOOKUP(VLOOKUP(H91,Visits!A:B,2,FALSE),Pets!A:C,3,FALSE)</f>
        <v>pies</v>
      </c>
      <c r="J91">
        <f>VLOOKUP(H91,Treatments!B:G,6,FALSE)</f>
        <v>100</v>
      </c>
      <c r="L91">
        <v>96</v>
      </c>
      <c r="M91">
        <v>62</v>
      </c>
      <c r="N91" t="str">
        <f>VLOOKUP(M91,Pets!A:B,2,FALSE)</f>
        <v>Wróbel</v>
      </c>
      <c r="O91">
        <f>IFERROR(VLOOKUP(L91,Treatments!B:G,6,FALSE),0)</f>
        <v>50</v>
      </c>
      <c r="P91" t="str">
        <f>VLOOKUP(M91,Pets!A:C,3,FALSE)</f>
        <v>pies</v>
      </c>
    </row>
    <row r="92" spans="1:16" x14ac:dyDescent="0.3">
      <c r="A92">
        <v>98</v>
      </c>
      <c r="B92">
        <v>3</v>
      </c>
      <c r="C92" t="str">
        <f>VLOOKUP(B92,Vets!A:G,7,FALSE)</f>
        <v>Tomasz Kaczmarek</v>
      </c>
      <c r="D92">
        <f>VLOOKUP(E92,Treatments!A:G,7,FALSE)</f>
        <v>50</v>
      </c>
      <c r="E92">
        <v>91</v>
      </c>
      <c r="H92" s="12">
        <v>98</v>
      </c>
      <c r="I92" t="str">
        <f>VLOOKUP(VLOOKUP(H92,Visits!A:B,2,FALSE),Pets!A:C,3,FALSE)</f>
        <v>pies</v>
      </c>
      <c r="J92">
        <f>VLOOKUP(H92,Treatments!B:G,6,FALSE)</f>
        <v>50</v>
      </c>
      <c r="L92">
        <v>97</v>
      </c>
      <c r="M92">
        <v>66</v>
      </c>
      <c r="N92" t="str">
        <f>VLOOKUP(M92,Pets!A:B,2,FALSE)</f>
        <v>Tytan</v>
      </c>
      <c r="O92">
        <f>IFERROR(VLOOKUP(L92,Treatments!B:G,6,FALSE),0)</f>
        <v>100</v>
      </c>
      <c r="P92" t="str">
        <f>VLOOKUP(M92,Pets!A:C,3,FALSE)</f>
        <v>pies</v>
      </c>
    </row>
    <row r="93" spans="1:16" x14ac:dyDescent="0.3">
      <c r="A93">
        <v>99</v>
      </c>
      <c r="B93">
        <v>6</v>
      </c>
      <c r="C93" t="str">
        <f>VLOOKUP(B93,Vets!A:G,7,FALSE)</f>
        <v>Janusz Szymański</v>
      </c>
      <c r="D93">
        <f>VLOOKUP(E93,Treatments!A:G,7,FALSE)</f>
        <v>50</v>
      </c>
      <c r="E93">
        <v>92</v>
      </c>
      <c r="H93" s="13">
        <v>99</v>
      </c>
      <c r="I93" t="str">
        <f>VLOOKUP(VLOOKUP(H93,Visits!A:B,2,FALSE),Pets!A:C,3,FALSE)</f>
        <v>królik</v>
      </c>
      <c r="J93">
        <f>VLOOKUP(H93,Treatments!B:G,6,FALSE)</f>
        <v>50</v>
      </c>
      <c r="L93">
        <v>98</v>
      </c>
      <c r="M93">
        <v>68</v>
      </c>
      <c r="N93" t="str">
        <f>VLOOKUP(M93,Pets!A:B,2,FALSE)</f>
        <v>Ptyś</v>
      </c>
      <c r="O93">
        <f>IFERROR(VLOOKUP(L93,Treatments!B:G,6,FALSE),0)</f>
        <v>50</v>
      </c>
      <c r="P93" t="str">
        <f>VLOOKUP(M93,Pets!A:C,3,FALSE)</f>
        <v>pies</v>
      </c>
    </row>
    <row r="94" spans="1:16" x14ac:dyDescent="0.3">
      <c r="A94">
        <v>100</v>
      </c>
      <c r="B94">
        <v>1</v>
      </c>
      <c r="C94" t="str">
        <f>VLOOKUP(B94,Vets!A:G,7,FALSE)</f>
        <v>Marek Nowak</v>
      </c>
      <c r="D94">
        <f>VLOOKUP(E94,Treatments!A:G,7,FALSE)</f>
        <v>60</v>
      </c>
      <c r="E94">
        <v>93</v>
      </c>
      <c r="H94" s="12">
        <v>100</v>
      </c>
      <c r="I94" t="str">
        <f>VLOOKUP(VLOOKUP(H94,Visits!A:B,2,FALSE),Pets!A:C,3,FALSE)</f>
        <v>papuga</v>
      </c>
      <c r="J94">
        <f>VLOOKUP(H94,Treatments!B:G,6,FALSE)</f>
        <v>60</v>
      </c>
      <c r="L94">
        <v>99</v>
      </c>
      <c r="M94">
        <v>70</v>
      </c>
      <c r="N94" t="str">
        <f>VLOOKUP(M94,Pets!A:B,2,FALSE)</f>
        <v>Pępek</v>
      </c>
      <c r="O94">
        <f>IFERROR(VLOOKUP(L94,Treatments!B:G,6,FALSE),0)</f>
        <v>50</v>
      </c>
      <c r="P94" t="str">
        <f>VLOOKUP(M94,Pets!A:C,3,FALSE)</f>
        <v>królik</v>
      </c>
    </row>
    <row r="95" spans="1:16" x14ac:dyDescent="0.3">
      <c r="A95">
        <v>101</v>
      </c>
      <c r="B95">
        <v>3</v>
      </c>
      <c r="C95" t="str">
        <f>VLOOKUP(B95,Vets!A:G,7,FALSE)</f>
        <v>Tomasz Kaczmarek</v>
      </c>
      <c r="D95">
        <f>VLOOKUP(E95,Treatments!A:G,7,FALSE)</f>
        <v>70</v>
      </c>
      <c r="E95">
        <v>94</v>
      </c>
      <c r="H95" s="13">
        <v>101</v>
      </c>
      <c r="I95" t="str">
        <f>VLOOKUP(VLOOKUP(H95,Visits!A:B,2,FALSE),Pets!A:C,3,FALSE)</f>
        <v>pies</v>
      </c>
      <c r="J95">
        <f>VLOOKUP(H95,Treatments!B:G,6,FALSE)</f>
        <v>70</v>
      </c>
      <c r="L95">
        <v>100</v>
      </c>
      <c r="M95">
        <v>74</v>
      </c>
      <c r="N95" t="str">
        <f>VLOOKUP(M95,Pets!A:B,2,FALSE)</f>
        <v>Koko</v>
      </c>
      <c r="O95">
        <f>IFERROR(VLOOKUP(L95,Treatments!B:G,6,FALSE),0)</f>
        <v>60</v>
      </c>
      <c r="P95" t="str">
        <f>VLOOKUP(M95,Pets!A:C,3,FALSE)</f>
        <v>papuga</v>
      </c>
    </row>
    <row r="96" spans="1:16" x14ac:dyDescent="0.3">
      <c r="A96">
        <v>102</v>
      </c>
      <c r="B96">
        <v>2</v>
      </c>
      <c r="C96" t="str">
        <f>VLOOKUP(B96,Vets!A:G,7,FALSE)</f>
        <v>Ewa Lis</v>
      </c>
      <c r="D96">
        <f>VLOOKUP(E96,Treatments!A:G,7,FALSE)</f>
        <v>70</v>
      </c>
      <c r="E96">
        <v>95</v>
      </c>
      <c r="H96" s="12">
        <v>102</v>
      </c>
      <c r="I96" t="str">
        <f>VLOOKUP(VLOOKUP(H96,Visits!A:B,2,FALSE),Pets!A:C,3,FALSE)</f>
        <v>kot</v>
      </c>
      <c r="J96">
        <f>VLOOKUP(H96,Treatments!B:G,6,FALSE)</f>
        <v>70</v>
      </c>
      <c r="L96">
        <v>101</v>
      </c>
      <c r="M96">
        <v>77</v>
      </c>
      <c r="N96" t="str">
        <f>VLOOKUP(M96,Pets!A:B,2,FALSE)</f>
        <v>Fado</v>
      </c>
      <c r="O96">
        <f>IFERROR(VLOOKUP(L96,Treatments!B:G,6,FALSE),0)</f>
        <v>70</v>
      </c>
      <c r="P96" t="str">
        <f>VLOOKUP(M96,Pets!A:C,3,FALSE)</f>
        <v>pies</v>
      </c>
    </row>
    <row r="97" spans="1:16" x14ac:dyDescent="0.3">
      <c r="A97">
        <v>103</v>
      </c>
      <c r="B97">
        <v>6</v>
      </c>
      <c r="C97" t="str">
        <f>VLOOKUP(B97,Vets!A:G,7,FALSE)</f>
        <v>Janusz Szymański</v>
      </c>
      <c r="D97">
        <f>VLOOKUP(E97,Treatments!A:G,7,FALSE)</f>
        <v>50</v>
      </c>
      <c r="E97">
        <v>96</v>
      </c>
      <c r="H97" s="13">
        <v>103</v>
      </c>
      <c r="I97" t="str">
        <f>VLOOKUP(VLOOKUP(H97,Visits!A:B,2,FALSE),Pets!A:C,3,FALSE)</f>
        <v>pies</v>
      </c>
      <c r="J97">
        <f>VLOOKUP(H97,Treatments!B:G,6,FALSE)</f>
        <v>50</v>
      </c>
      <c r="L97">
        <v>102</v>
      </c>
      <c r="M97">
        <v>15</v>
      </c>
      <c r="N97" t="str">
        <f>VLOOKUP(M97,Pets!A:B,2,FALSE)</f>
        <v>Tygrys</v>
      </c>
      <c r="O97">
        <f>IFERROR(VLOOKUP(L97,Treatments!B:G,6,FALSE),0)</f>
        <v>70</v>
      </c>
      <c r="P97" t="str">
        <f>VLOOKUP(M97,Pets!A:C,3,FALSE)</f>
        <v>kot</v>
      </c>
    </row>
    <row r="98" spans="1:16" x14ac:dyDescent="0.3">
      <c r="A98">
        <v>104</v>
      </c>
      <c r="B98">
        <v>2</v>
      </c>
      <c r="C98" t="str">
        <f>VLOOKUP(B98,Vets!A:G,7,FALSE)</f>
        <v>Ewa Lis</v>
      </c>
      <c r="D98">
        <f>VLOOKUP(E98,Treatments!A:G,7,FALSE)</f>
        <v>60</v>
      </c>
      <c r="E98">
        <v>97</v>
      </c>
      <c r="H98" s="12">
        <v>104</v>
      </c>
      <c r="I98" t="str">
        <f>VLOOKUP(VLOOKUP(H98,Visits!A:B,2,FALSE),Pets!A:C,3,FALSE)</f>
        <v>chomik</v>
      </c>
      <c r="J98">
        <f>VLOOKUP(H98,Treatments!B:G,6,FALSE)</f>
        <v>60</v>
      </c>
      <c r="L98">
        <v>103</v>
      </c>
      <c r="M98">
        <v>28</v>
      </c>
      <c r="N98" t="str">
        <f>VLOOKUP(M98,Pets!A:B,2,FALSE)</f>
        <v>Bruno</v>
      </c>
      <c r="O98">
        <f>IFERROR(VLOOKUP(L98,Treatments!B:G,6,FALSE),0)</f>
        <v>50</v>
      </c>
      <c r="P98" t="str">
        <f>VLOOKUP(M98,Pets!A:C,3,FALSE)</f>
        <v>pies</v>
      </c>
    </row>
    <row r="99" spans="1:16" x14ac:dyDescent="0.3">
      <c r="A99">
        <v>105</v>
      </c>
      <c r="B99">
        <v>2</v>
      </c>
      <c r="C99" t="str">
        <f>VLOOKUP(B99,Vets!A:G,7,FALSE)</f>
        <v>Ewa Lis</v>
      </c>
      <c r="D99">
        <f>VLOOKUP(E99,Treatments!A:G,7,FALSE)</f>
        <v>45</v>
      </c>
      <c r="E99">
        <v>98</v>
      </c>
      <c r="H99" s="13">
        <v>105</v>
      </c>
      <c r="I99" t="str">
        <f>VLOOKUP(VLOOKUP(H99,Visits!A:B,2,FALSE),Pets!A:C,3,FALSE)</f>
        <v>pies</v>
      </c>
      <c r="J99">
        <f>VLOOKUP(H99,Treatments!B:G,6,FALSE)</f>
        <v>45</v>
      </c>
      <c r="L99">
        <v>104</v>
      </c>
      <c r="M99">
        <v>29</v>
      </c>
      <c r="N99" t="str">
        <f>VLOOKUP(M99,Pets!A:B,2,FALSE)</f>
        <v>Złotko</v>
      </c>
      <c r="O99">
        <f>IFERROR(VLOOKUP(L99,Treatments!B:G,6,FALSE),0)</f>
        <v>60</v>
      </c>
      <c r="P99" t="str">
        <f>VLOOKUP(M99,Pets!A:C,3,FALSE)</f>
        <v>chomik</v>
      </c>
    </row>
    <row r="100" spans="1:16" x14ac:dyDescent="0.3">
      <c r="A100">
        <v>106</v>
      </c>
      <c r="B100">
        <v>3</v>
      </c>
      <c r="C100" t="str">
        <f>VLOOKUP(B100,Vets!A:G,7,FALSE)</f>
        <v>Tomasz Kaczmarek</v>
      </c>
      <c r="D100">
        <f>VLOOKUP(E100,Treatments!A:G,7,FALSE)</f>
        <v>100</v>
      </c>
      <c r="E100">
        <v>99</v>
      </c>
      <c r="H100" s="12">
        <v>106</v>
      </c>
      <c r="I100" t="str">
        <f>VLOOKUP(VLOOKUP(H100,Visits!A:B,2,FALSE),Pets!A:C,3,FALSE)</f>
        <v>pies</v>
      </c>
      <c r="J100">
        <f>VLOOKUP(H100,Treatments!B:G,6,FALSE)</f>
        <v>100</v>
      </c>
      <c r="L100">
        <v>105</v>
      </c>
      <c r="M100">
        <v>35</v>
      </c>
      <c r="N100" t="str">
        <f>VLOOKUP(M100,Pets!A:B,2,FALSE)</f>
        <v>Nero</v>
      </c>
      <c r="O100">
        <f>IFERROR(VLOOKUP(L100,Treatments!B:G,6,FALSE),0)</f>
        <v>45</v>
      </c>
      <c r="P100" t="str">
        <f>VLOOKUP(M100,Pets!A:C,3,FALSE)</f>
        <v>pies</v>
      </c>
    </row>
    <row r="101" spans="1:16" x14ac:dyDescent="0.3">
      <c r="A101">
        <v>107</v>
      </c>
      <c r="B101">
        <v>3</v>
      </c>
      <c r="C101" t="str">
        <f>VLOOKUP(B101,Vets!A:G,7,FALSE)</f>
        <v>Tomasz Kaczmarek</v>
      </c>
      <c r="D101">
        <f>VLOOKUP(E101,Treatments!A:G,7,FALSE)</f>
        <v>50</v>
      </c>
      <c r="E101">
        <v>100</v>
      </c>
      <c r="H101" s="13">
        <v>107</v>
      </c>
      <c r="I101" t="str">
        <f>VLOOKUP(VLOOKUP(H101,Visits!A:B,2,FALSE),Pets!A:C,3,FALSE)</f>
        <v>pies</v>
      </c>
      <c r="J101">
        <f>VLOOKUP(H101,Treatments!B:G,6,FALSE)</f>
        <v>50</v>
      </c>
      <c r="L101">
        <v>106</v>
      </c>
      <c r="M101">
        <v>16</v>
      </c>
      <c r="N101" t="str">
        <f>VLOOKUP(M101,Pets!A:B,2,FALSE)</f>
        <v>Zefir</v>
      </c>
      <c r="O101">
        <f>IFERROR(VLOOKUP(L101,Treatments!B:G,6,FALSE),0)</f>
        <v>100</v>
      </c>
      <c r="P101" t="str">
        <f>VLOOKUP(M101,Pets!A:C,3,FALSE)</f>
        <v>pies</v>
      </c>
    </row>
    <row r="102" spans="1:16" x14ac:dyDescent="0.3">
      <c r="A102">
        <v>108</v>
      </c>
      <c r="B102">
        <v>3</v>
      </c>
      <c r="C102" t="str">
        <f>VLOOKUP(B102,Vets!A:G,7,FALSE)</f>
        <v>Tomasz Kaczmarek</v>
      </c>
      <c r="D102">
        <f>VLOOKUP(E102,Treatments!A:G,7,FALSE)</f>
        <v>60</v>
      </c>
      <c r="E102">
        <v>101</v>
      </c>
      <c r="H102" s="12">
        <v>108</v>
      </c>
      <c r="I102" t="str">
        <f>VLOOKUP(VLOOKUP(H102,Visits!A:B,2,FALSE),Pets!A:C,3,FALSE)</f>
        <v>pies</v>
      </c>
      <c r="J102">
        <f>VLOOKUP(H102,Treatments!B:G,6,FALSE)</f>
        <v>60</v>
      </c>
      <c r="L102">
        <v>107</v>
      </c>
      <c r="M102">
        <v>21</v>
      </c>
      <c r="N102" t="str">
        <f>VLOOKUP(M102,Pets!A:B,2,FALSE)</f>
        <v>Gniewko</v>
      </c>
      <c r="O102">
        <f>IFERROR(VLOOKUP(L102,Treatments!B:G,6,FALSE),0)</f>
        <v>50</v>
      </c>
      <c r="P102" t="str">
        <f>VLOOKUP(M102,Pets!A:C,3,FALSE)</f>
        <v>pies</v>
      </c>
    </row>
    <row r="103" spans="1:16" x14ac:dyDescent="0.3">
      <c r="A103">
        <v>109</v>
      </c>
      <c r="B103">
        <v>2</v>
      </c>
      <c r="C103" t="str">
        <f>VLOOKUP(B103,Vets!A:G,7,FALSE)</f>
        <v>Ewa Lis</v>
      </c>
      <c r="D103">
        <f>VLOOKUP(E103,Treatments!A:G,7,FALSE)</f>
        <v>30</v>
      </c>
      <c r="E103">
        <v>102</v>
      </c>
      <c r="H103" s="13">
        <v>109</v>
      </c>
      <c r="I103" t="str">
        <f>VLOOKUP(VLOOKUP(H103,Visits!A:B,2,FALSE),Pets!A:C,3,FALSE)</f>
        <v>pies</v>
      </c>
      <c r="J103">
        <f>VLOOKUP(H103,Treatments!B:G,6,FALSE)</f>
        <v>30</v>
      </c>
      <c r="L103">
        <v>108</v>
      </c>
      <c r="M103">
        <v>37</v>
      </c>
      <c r="N103" t="str">
        <f>VLOOKUP(M103,Pets!A:B,2,FALSE)</f>
        <v>Fifi</v>
      </c>
      <c r="O103">
        <f>IFERROR(VLOOKUP(L103,Treatments!B:G,6,FALSE),0)</f>
        <v>60</v>
      </c>
      <c r="P103" t="str">
        <f>VLOOKUP(M103,Pets!A:C,3,FALSE)</f>
        <v>pies</v>
      </c>
    </row>
    <row r="104" spans="1:16" x14ac:dyDescent="0.3">
      <c r="A104">
        <v>110</v>
      </c>
      <c r="B104">
        <v>5</v>
      </c>
      <c r="C104" t="str">
        <f>VLOOKUP(B104,Vets!A:G,7,FALSE)</f>
        <v>Paweł Mazur</v>
      </c>
      <c r="D104">
        <f>VLOOKUP(E104,Treatments!A:G,7,FALSE)</f>
        <v>50</v>
      </c>
      <c r="E104">
        <v>103</v>
      </c>
      <c r="H104" s="12">
        <v>110</v>
      </c>
      <c r="I104" t="str">
        <f>VLOOKUP(VLOOKUP(H104,Visits!A:B,2,FALSE),Pets!A:C,3,FALSE)</f>
        <v>kot</v>
      </c>
      <c r="J104">
        <f>VLOOKUP(H104,Treatments!B:G,6,FALSE)</f>
        <v>50</v>
      </c>
      <c r="L104">
        <v>109</v>
      </c>
      <c r="M104">
        <v>41</v>
      </c>
      <c r="N104" t="str">
        <f>VLOOKUP(M104,Pets!A:B,2,FALSE)</f>
        <v>Stella</v>
      </c>
      <c r="O104">
        <f>IFERROR(VLOOKUP(L104,Treatments!B:G,6,FALSE),0)</f>
        <v>30</v>
      </c>
      <c r="P104" t="str">
        <f>VLOOKUP(M104,Pets!A:C,3,FALSE)</f>
        <v>pies</v>
      </c>
    </row>
    <row r="105" spans="1:16" x14ac:dyDescent="0.3">
      <c r="A105">
        <v>111</v>
      </c>
      <c r="B105">
        <v>5</v>
      </c>
      <c r="C105" t="str">
        <f>VLOOKUP(B105,Vets!A:G,7,FALSE)</f>
        <v>Paweł Mazur</v>
      </c>
      <c r="D105">
        <f>VLOOKUP(E105,Treatments!A:G,7,FALSE)</f>
        <v>100</v>
      </c>
      <c r="E105">
        <v>104</v>
      </c>
      <c r="H105" s="13">
        <v>111</v>
      </c>
      <c r="I105" t="str">
        <f>VLOOKUP(VLOOKUP(H105,Visits!A:B,2,FALSE),Pets!A:C,3,FALSE)</f>
        <v>kot</v>
      </c>
      <c r="J105">
        <f>VLOOKUP(H105,Treatments!B:G,6,FALSE)</f>
        <v>100</v>
      </c>
      <c r="L105">
        <v>110</v>
      </c>
      <c r="M105">
        <v>44</v>
      </c>
      <c r="N105" t="str">
        <f>VLOOKUP(M105,Pets!A:B,2,FALSE)</f>
        <v>Fryderyk</v>
      </c>
      <c r="O105">
        <f>IFERROR(VLOOKUP(L105,Treatments!B:G,6,FALSE),0)</f>
        <v>50</v>
      </c>
      <c r="P105" t="str">
        <f>VLOOKUP(M105,Pets!A:C,3,FALSE)</f>
        <v>kot</v>
      </c>
    </row>
    <row r="106" spans="1:16" x14ac:dyDescent="0.3">
      <c r="A106">
        <v>112</v>
      </c>
      <c r="B106">
        <v>2</v>
      </c>
      <c r="C106" t="str">
        <f>VLOOKUP(B106,Vets!A:G,7,FALSE)</f>
        <v>Ewa Lis</v>
      </c>
      <c r="D106">
        <f>VLOOKUP(E106,Treatments!A:G,7,FALSE)</f>
        <v>65</v>
      </c>
      <c r="E106">
        <v>105</v>
      </c>
      <c r="H106" s="12">
        <v>112</v>
      </c>
      <c r="I106" t="str">
        <f>VLOOKUP(VLOOKUP(H106,Visits!A:B,2,FALSE),Pets!A:C,3,FALSE)</f>
        <v>pies</v>
      </c>
      <c r="J106">
        <f>VLOOKUP(H106,Treatments!B:G,6,FALSE)</f>
        <v>65</v>
      </c>
      <c r="L106">
        <v>111</v>
      </c>
      <c r="M106">
        <v>45</v>
      </c>
      <c r="N106" t="str">
        <f>VLOOKUP(M106,Pets!A:B,2,FALSE)</f>
        <v>Miętka</v>
      </c>
      <c r="O106">
        <f>IFERROR(VLOOKUP(L106,Treatments!B:G,6,FALSE),0)</f>
        <v>100</v>
      </c>
      <c r="P106" t="str">
        <f>VLOOKUP(M106,Pets!A:C,3,FALSE)</f>
        <v>kot</v>
      </c>
    </row>
    <row r="107" spans="1:16" x14ac:dyDescent="0.3">
      <c r="A107">
        <v>113</v>
      </c>
      <c r="B107">
        <v>2</v>
      </c>
      <c r="C107" t="str">
        <f>VLOOKUP(B107,Vets!A:G,7,FALSE)</f>
        <v>Ewa Lis</v>
      </c>
      <c r="D107">
        <f>VLOOKUP(E107,Treatments!A:G,7,FALSE)</f>
        <v>75</v>
      </c>
      <c r="E107">
        <v>106</v>
      </c>
      <c r="H107" s="13">
        <v>113</v>
      </c>
      <c r="I107" t="str">
        <f>VLOOKUP(VLOOKUP(H107,Visits!A:B,2,FALSE),Pets!A:C,3,FALSE)</f>
        <v>pies</v>
      </c>
      <c r="J107">
        <f>VLOOKUP(H107,Treatments!B:G,6,FALSE)</f>
        <v>75</v>
      </c>
      <c r="L107">
        <v>112</v>
      </c>
      <c r="M107">
        <v>47</v>
      </c>
      <c r="N107" t="str">
        <f>VLOOKUP(M107,Pets!A:B,2,FALSE)</f>
        <v>Rambo</v>
      </c>
      <c r="O107">
        <f>IFERROR(VLOOKUP(L107,Treatments!B:G,6,FALSE),0)</f>
        <v>65</v>
      </c>
      <c r="P107" t="str">
        <f>VLOOKUP(M107,Pets!A:C,3,FALSE)</f>
        <v>pies</v>
      </c>
    </row>
    <row r="108" spans="1:16" x14ac:dyDescent="0.3">
      <c r="A108">
        <v>114</v>
      </c>
      <c r="B108">
        <v>5</v>
      </c>
      <c r="C108" t="str">
        <f>VLOOKUP(B108,Vets!A:G,7,FALSE)</f>
        <v>Paweł Mazur</v>
      </c>
      <c r="D108">
        <f>VLOOKUP(E108,Treatments!A:G,7,FALSE)</f>
        <v>65</v>
      </c>
      <c r="E108">
        <v>107</v>
      </c>
      <c r="H108" s="12">
        <v>114</v>
      </c>
      <c r="I108" t="str">
        <f>VLOOKUP(VLOOKUP(H108,Visits!A:B,2,FALSE),Pets!A:C,3,FALSE)</f>
        <v>pies</v>
      </c>
      <c r="J108">
        <f>VLOOKUP(H108,Treatments!B:G,6,FALSE)</f>
        <v>65</v>
      </c>
      <c r="L108">
        <v>113</v>
      </c>
      <c r="M108">
        <v>53</v>
      </c>
      <c r="N108" t="str">
        <f>VLOOKUP(M108,Pets!A:B,2,FALSE)</f>
        <v>Puzon</v>
      </c>
      <c r="O108">
        <f>IFERROR(VLOOKUP(L108,Treatments!B:G,6,FALSE),0)</f>
        <v>75</v>
      </c>
      <c r="P108" t="str">
        <f>VLOOKUP(M108,Pets!A:C,3,FALSE)</f>
        <v>pies</v>
      </c>
    </row>
    <row r="109" spans="1:16" x14ac:dyDescent="0.3">
      <c r="A109">
        <v>115</v>
      </c>
      <c r="B109">
        <v>5</v>
      </c>
      <c r="C109" t="str">
        <f>VLOOKUP(B109,Vets!A:G,7,FALSE)</f>
        <v>Paweł Mazur</v>
      </c>
      <c r="D109">
        <f>VLOOKUP(E109,Treatments!A:G,7,FALSE)</f>
        <v>80</v>
      </c>
      <c r="E109">
        <v>108</v>
      </c>
      <c r="H109" s="13">
        <v>115</v>
      </c>
      <c r="I109" t="str">
        <f>VLOOKUP(VLOOKUP(H109,Visits!A:B,2,FALSE),Pets!A:C,3,FALSE)</f>
        <v>papuga</v>
      </c>
      <c r="J109">
        <f>VLOOKUP(H109,Treatments!B:G,6,FALSE)</f>
        <v>80</v>
      </c>
      <c r="L109">
        <v>114</v>
      </c>
      <c r="M109">
        <v>55</v>
      </c>
      <c r="N109" t="str">
        <f>VLOOKUP(M109,Pets!A:B,2,FALSE)</f>
        <v>Braveheart</v>
      </c>
      <c r="O109">
        <f>IFERROR(VLOOKUP(L109,Treatments!B:G,6,FALSE),0)</f>
        <v>65</v>
      </c>
      <c r="P109" t="str">
        <f>VLOOKUP(M109,Pets!A:C,3,FALSE)</f>
        <v>pies</v>
      </c>
    </row>
    <row r="110" spans="1:16" x14ac:dyDescent="0.3">
      <c r="A110">
        <v>116</v>
      </c>
      <c r="B110">
        <v>2</v>
      </c>
      <c r="C110" t="str">
        <f>VLOOKUP(B110,Vets!A:G,7,FALSE)</f>
        <v>Ewa Lis</v>
      </c>
      <c r="D110">
        <f>VLOOKUP(E110,Treatments!A:G,7,FALSE)</f>
        <v>80</v>
      </c>
      <c r="E110">
        <v>109</v>
      </c>
      <c r="H110" s="12">
        <v>116</v>
      </c>
      <c r="I110" t="str">
        <f>VLOOKUP(VLOOKUP(H110,Visits!A:B,2,FALSE),Pets!A:C,3,FALSE)</f>
        <v>chomik</v>
      </c>
      <c r="J110">
        <f>VLOOKUP(H110,Treatments!B:G,6,FALSE)</f>
        <v>80</v>
      </c>
      <c r="L110">
        <v>115</v>
      </c>
      <c r="M110">
        <v>57</v>
      </c>
      <c r="N110" t="str">
        <f>VLOOKUP(M110,Pets!A:B,2,FALSE)</f>
        <v>Wiesio</v>
      </c>
      <c r="O110">
        <f>IFERROR(VLOOKUP(L110,Treatments!B:G,6,FALSE),0)</f>
        <v>80</v>
      </c>
      <c r="P110" t="str">
        <f>VLOOKUP(M110,Pets!A:C,3,FALSE)</f>
        <v>papuga</v>
      </c>
    </row>
    <row r="111" spans="1:16" x14ac:dyDescent="0.3">
      <c r="A111">
        <v>117</v>
      </c>
      <c r="B111">
        <v>6</v>
      </c>
      <c r="C111" t="str">
        <f>VLOOKUP(B111,Vets!A:G,7,FALSE)</f>
        <v>Janusz Szymański</v>
      </c>
      <c r="D111">
        <f>VLOOKUP(E111,Treatments!A:G,7,FALSE)</f>
        <v>60</v>
      </c>
      <c r="E111">
        <v>110</v>
      </c>
      <c r="H111" s="13">
        <v>117</v>
      </c>
      <c r="I111" t="str">
        <f>VLOOKUP(VLOOKUP(H111,Visits!A:B,2,FALSE),Pets!A:C,3,FALSE)</f>
        <v>kot</v>
      </c>
      <c r="J111">
        <f>VLOOKUP(H111,Treatments!B:G,6,FALSE)</f>
        <v>60</v>
      </c>
      <c r="L111">
        <v>116</v>
      </c>
      <c r="M111">
        <v>59</v>
      </c>
      <c r="N111" t="str">
        <f>VLOOKUP(M111,Pets!A:B,2,FALSE)</f>
        <v>Pistacjo</v>
      </c>
      <c r="O111">
        <f>IFERROR(VLOOKUP(L111,Treatments!B:G,6,FALSE),0)</f>
        <v>80</v>
      </c>
      <c r="P111" t="str">
        <f>VLOOKUP(M111,Pets!A:C,3,FALSE)</f>
        <v>chomik</v>
      </c>
    </row>
    <row r="112" spans="1:16" x14ac:dyDescent="0.3">
      <c r="A112">
        <v>118</v>
      </c>
      <c r="B112">
        <v>5</v>
      </c>
      <c r="C112" t="str">
        <f>VLOOKUP(B112,Vets!A:G,7,FALSE)</f>
        <v>Paweł Mazur</v>
      </c>
      <c r="D112">
        <f>VLOOKUP(E112,Treatments!A:G,7,FALSE)</f>
        <v>95</v>
      </c>
      <c r="E112">
        <v>111</v>
      </c>
      <c r="H112" s="12">
        <v>118</v>
      </c>
      <c r="I112" t="str">
        <f>VLOOKUP(VLOOKUP(H112,Visits!A:B,2,FALSE),Pets!A:C,3,FALSE)</f>
        <v>pies</v>
      </c>
      <c r="J112">
        <f>VLOOKUP(H112,Treatments!B:G,6,FALSE)</f>
        <v>95</v>
      </c>
      <c r="L112">
        <v>117</v>
      </c>
      <c r="M112">
        <v>61</v>
      </c>
      <c r="N112" t="str">
        <f>VLOOKUP(M112,Pets!A:B,2,FALSE)</f>
        <v>Ciastko</v>
      </c>
      <c r="O112">
        <f>IFERROR(VLOOKUP(L112,Treatments!B:G,6,FALSE),0)</f>
        <v>60</v>
      </c>
      <c r="P112" t="str">
        <f>VLOOKUP(M112,Pets!A:C,3,FALSE)</f>
        <v>kot</v>
      </c>
    </row>
    <row r="113" spans="1:16" x14ac:dyDescent="0.3">
      <c r="A113">
        <v>119</v>
      </c>
      <c r="B113">
        <v>2</v>
      </c>
      <c r="C113" t="str">
        <f>VLOOKUP(B113,Vets!A:G,7,FALSE)</f>
        <v>Ewa Lis</v>
      </c>
      <c r="D113">
        <f>VLOOKUP(E113,Treatments!A:G,7,FALSE)</f>
        <v>60</v>
      </c>
      <c r="E113">
        <v>112</v>
      </c>
      <c r="H113" s="13">
        <v>119</v>
      </c>
      <c r="I113" t="str">
        <f>VLOOKUP(VLOOKUP(H113,Visits!A:B,2,FALSE),Pets!A:C,3,FALSE)</f>
        <v>kot</v>
      </c>
      <c r="J113">
        <f>VLOOKUP(H113,Treatments!B:G,6,FALSE)</f>
        <v>60</v>
      </c>
      <c r="L113">
        <v>118</v>
      </c>
      <c r="M113">
        <v>1</v>
      </c>
      <c r="N113" t="str">
        <f>VLOOKUP(M113,Pets!A:B,2,FALSE)</f>
        <v>Rex</v>
      </c>
      <c r="O113">
        <f>IFERROR(VLOOKUP(L113,Treatments!B:G,6,FALSE),0)</f>
        <v>95</v>
      </c>
      <c r="P113" t="str">
        <f>VLOOKUP(M113,Pets!A:C,3,FALSE)</f>
        <v>pies</v>
      </c>
    </row>
    <row r="114" spans="1:16" x14ac:dyDescent="0.3">
      <c r="A114">
        <v>120</v>
      </c>
      <c r="B114">
        <v>1</v>
      </c>
      <c r="C114" t="str">
        <f>VLOOKUP(B114,Vets!A:G,7,FALSE)</f>
        <v>Marek Nowak</v>
      </c>
      <c r="D114">
        <f>VLOOKUP(E114,Treatments!A:G,7,FALSE)</f>
        <v>60</v>
      </c>
      <c r="E114">
        <v>113</v>
      </c>
      <c r="H114" s="12">
        <v>120</v>
      </c>
      <c r="I114" t="str">
        <f>VLOOKUP(VLOOKUP(H114,Visits!A:B,2,FALSE),Pets!A:C,3,FALSE)</f>
        <v>pies</v>
      </c>
      <c r="J114">
        <f>VLOOKUP(H114,Treatments!B:G,6,FALSE)</f>
        <v>60</v>
      </c>
      <c r="L114">
        <v>119</v>
      </c>
      <c r="M114">
        <v>2</v>
      </c>
      <c r="N114" t="str">
        <f>VLOOKUP(M114,Pets!A:B,2,FALSE)</f>
        <v>Mruczek</v>
      </c>
      <c r="O114">
        <f>IFERROR(VLOOKUP(L114,Treatments!B:G,6,FALSE),0)</f>
        <v>60</v>
      </c>
      <c r="P114" t="str">
        <f>VLOOKUP(M114,Pets!A:C,3,FALSE)</f>
        <v>kot</v>
      </c>
    </row>
    <row r="115" spans="1:16" x14ac:dyDescent="0.3">
      <c r="A115">
        <v>121</v>
      </c>
      <c r="B115">
        <v>3</v>
      </c>
      <c r="C115" t="str">
        <f>VLOOKUP(B115,Vets!A:G,7,FALSE)</f>
        <v>Tomasz Kaczmarek</v>
      </c>
      <c r="D115">
        <f>VLOOKUP(E115,Treatments!A:G,7,FALSE)</f>
        <v>60</v>
      </c>
      <c r="E115">
        <v>114</v>
      </c>
      <c r="H115" s="13">
        <v>121</v>
      </c>
      <c r="I115" t="str">
        <f>VLOOKUP(VLOOKUP(H115,Visits!A:B,2,FALSE),Pets!A:C,3,FALSE)</f>
        <v>kot</v>
      </c>
      <c r="J115">
        <f>VLOOKUP(H115,Treatments!B:G,6,FALSE)</f>
        <v>60</v>
      </c>
      <c r="L115">
        <v>120</v>
      </c>
      <c r="M115">
        <v>3</v>
      </c>
      <c r="N115" t="str">
        <f>VLOOKUP(M115,Pets!A:B,2,FALSE)</f>
        <v>Bella</v>
      </c>
      <c r="O115">
        <f>IFERROR(VLOOKUP(L115,Treatments!B:G,6,FALSE),0)</f>
        <v>60</v>
      </c>
      <c r="P115" t="str">
        <f>VLOOKUP(M115,Pets!A:C,3,FALSE)</f>
        <v>pies</v>
      </c>
    </row>
    <row r="116" spans="1:16" x14ac:dyDescent="0.3">
      <c r="A116">
        <v>122</v>
      </c>
      <c r="B116">
        <v>2</v>
      </c>
      <c r="C116" t="str">
        <f>VLOOKUP(B116,Vets!A:G,7,FALSE)</f>
        <v>Ewa Lis</v>
      </c>
      <c r="D116">
        <f>VLOOKUP(E116,Treatments!A:G,7,FALSE)</f>
        <v>40</v>
      </c>
      <c r="E116">
        <v>115</v>
      </c>
      <c r="H116" s="12">
        <v>122</v>
      </c>
      <c r="I116" t="str">
        <f>VLOOKUP(VLOOKUP(H116,Visits!A:B,2,FALSE),Pets!A:C,3,FALSE)</f>
        <v>kot</v>
      </c>
      <c r="J116">
        <f>VLOOKUP(H116,Treatments!B:G,6,FALSE)</f>
        <v>40</v>
      </c>
      <c r="L116">
        <v>121</v>
      </c>
      <c r="M116">
        <v>4</v>
      </c>
      <c r="N116" t="str">
        <f>VLOOKUP(M116,Pets!A:B,2,FALSE)</f>
        <v>Kropka</v>
      </c>
      <c r="O116">
        <f>IFERROR(VLOOKUP(L116,Treatments!B:G,6,FALSE),0)</f>
        <v>60</v>
      </c>
      <c r="P116" t="str">
        <f>VLOOKUP(M116,Pets!A:C,3,FALSE)</f>
        <v>kot</v>
      </c>
    </row>
    <row r="117" spans="1:16" x14ac:dyDescent="0.3">
      <c r="A117">
        <v>123</v>
      </c>
      <c r="B117">
        <v>4</v>
      </c>
      <c r="C117" t="str">
        <f>VLOOKUP(B117,Vets!A:G,7,FALSE)</f>
        <v>Anna Wójcik</v>
      </c>
      <c r="D117">
        <f>VLOOKUP(E117,Treatments!A:G,7,FALSE)</f>
        <v>60</v>
      </c>
      <c r="E117">
        <v>116</v>
      </c>
      <c r="H117" s="13">
        <v>123</v>
      </c>
      <c r="I117" t="str">
        <f>VLOOKUP(VLOOKUP(H117,Visits!A:B,2,FALSE),Pets!A:C,3,FALSE)</f>
        <v>kot</v>
      </c>
      <c r="J117">
        <f>VLOOKUP(H117,Treatments!B:G,6,FALSE)</f>
        <v>60</v>
      </c>
      <c r="L117">
        <v>122</v>
      </c>
      <c r="M117">
        <v>6</v>
      </c>
      <c r="N117" t="str">
        <f>VLOOKUP(M117,Pets!A:B,2,FALSE)</f>
        <v>Cynamon</v>
      </c>
      <c r="O117">
        <f>IFERROR(VLOOKUP(L117,Treatments!B:G,6,FALSE),0)</f>
        <v>40</v>
      </c>
      <c r="P117" t="str">
        <f>VLOOKUP(M117,Pets!A:C,3,FALSE)</f>
        <v>kot</v>
      </c>
    </row>
    <row r="118" spans="1:16" x14ac:dyDescent="0.3">
      <c r="A118">
        <v>124</v>
      </c>
      <c r="B118">
        <v>4</v>
      </c>
      <c r="C118" t="str">
        <f>VLOOKUP(B118,Vets!A:G,7,FALSE)</f>
        <v>Anna Wójcik</v>
      </c>
      <c r="D118">
        <f>VLOOKUP(E118,Treatments!A:G,7,FALSE)</f>
        <v>55</v>
      </c>
      <c r="E118">
        <v>117</v>
      </c>
      <c r="H118" s="12">
        <v>124</v>
      </c>
      <c r="I118" t="str">
        <f>VLOOKUP(VLOOKUP(H118,Visits!A:B,2,FALSE),Pets!A:C,3,FALSE)</f>
        <v>kot</v>
      </c>
      <c r="J118">
        <f>VLOOKUP(H118,Treatments!B:G,6,FALSE)</f>
        <v>55</v>
      </c>
      <c r="L118">
        <v>123</v>
      </c>
      <c r="M118">
        <v>7</v>
      </c>
      <c r="N118" t="str">
        <f>VLOOKUP(M118,Pets!A:B,2,FALSE)</f>
        <v>Puszek</v>
      </c>
      <c r="O118">
        <f>IFERROR(VLOOKUP(L118,Treatments!B:G,6,FALSE),0)</f>
        <v>60</v>
      </c>
      <c r="P118" t="str">
        <f>VLOOKUP(M118,Pets!A:C,3,FALSE)</f>
        <v>kot</v>
      </c>
    </row>
    <row r="119" spans="1:16" x14ac:dyDescent="0.3">
      <c r="A119">
        <v>125</v>
      </c>
      <c r="B119">
        <v>3</v>
      </c>
      <c r="C119" t="str">
        <f>VLOOKUP(B119,Vets!A:G,7,FALSE)</f>
        <v>Tomasz Kaczmarek</v>
      </c>
      <c r="D119">
        <f>VLOOKUP(E119,Treatments!A:G,7,FALSE)</f>
        <v>40</v>
      </c>
      <c r="E119">
        <v>118</v>
      </c>
      <c r="H119" s="13">
        <v>125</v>
      </c>
      <c r="I119" t="str">
        <f>VLOOKUP(VLOOKUP(H119,Visits!A:B,2,FALSE),Pets!A:C,3,FALSE)</f>
        <v>pies</v>
      </c>
      <c r="J119">
        <f>VLOOKUP(H119,Treatments!B:G,6,FALSE)</f>
        <v>40</v>
      </c>
      <c r="L119">
        <v>124</v>
      </c>
      <c r="M119">
        <v>8</v>
      </c>
      <c r="N119" t="str">
        <f>VLOOKUP(M119,Pets!A:B,2,FALSE)</f>
        <v>Mamba</v>
      </c>
      <c r="O119">
        <f>IFERROR(VLOOKUP(L119,Treatments!B:G,6,FALSE),0)</f>
        <v>55</v>
      </c>
      <c r="P119" t="str">
        <f>VLOOKUP(M119,Pets!A:C,3,FALSE)</f>
        <v>kot</v>
      </c>
    </row>
    <row r="120" spans="1:16" x14ac:dyDescent="0.3">
      <c r="A120">
        <v>126</v>
      </c>
      <c r="B120">
        <v>5</v>
      </c>
      <c r="C120" t="str">
        <f>VLOOKUP(B120,Vets!A:G,7,FALSE)</f>
        <v>Paweł Mazur</v>
      </c>
      <c r="D120">
        <f>VLOOKUP(E120,Treatments!A:G,7,FALSE)</f>
        <v>160</v>
      </c>
      <c r="E120">
        <v>119</v>
      </c>
      <c r="H120" s="12">
        <v>126</v>
      </c>
      <c r="I120" t="str">
        <f>VLOOKUP(VLOOKUP(H120,Visits!A:B,2,FALSE),Pets!A:C,3,FALSE)</f>
        <v>chomik</v>
      </c>
      <c r="J120">
        <f>VLOOKUP(H120,Treatments!B:G,6,FALSE)</f>
        <v>160</v>
      </c>
      <c r="L120">
        <v>125</v>
      </c>
      <c r="M120">
        <v>9</v>
      </c>
      <c r="N120" t="str">
        <f>VLOOKUP(M120,Pets!A:B,2,FALSE)</f>
        <v>Maks</v>
      </c>
      <c r="O120">
        <f>IFERROR(VLOOKUP(L120,Treatments!B:G,6,FALSE),0)</f>
        <v>40</v>
      </c>
      <c r="P120" t="str">
        <f>VLOOKUP(M120,Pets!A:C,3,FALSE)</f>
        <v>pies</v>
      </c>
    </row>
    <row r="121" spans="1:16" x14ac:dyDescent="0.3">
      <c r="A121">
        <v>127</v>
      </c>
      <c r="B121">
        <v>1</v>
      </c>
      <c r="C121" t="str">
        <f>VLOOKUP(B121,Vets!A:G,7,FALSE)</f>
        <v>Marek Nowak</v>
      </c>
      <c r="D121">
        <f>VLOOKUP(E121,Treatments!A:G,7,FALSE)</f>
        <v>35</v>
      </c>
      <c r="E121">
        <v>120</v>
      </c>
      <c r="H121" s="13">
        <v>127</v>
      </c>
      <c r="I121" t="str">
        <f>VLOOKUP(VLOOKUP(H121,Visits!A:B,2,FALSE),Pets!A:C,3,FALSE)</f>
        <v>pies</v>
      </c>
      <c r="J121">
        <f>VLOOKUP(H121,Treatments!B:G,6,FALSE)</f>
        <v>35</v>
      </c>
      <c r="L121">
        <v>126</v>
      </c>
      <c r="M121">
        <v>11</v>
      </c>
      <c r="N121" t="str">
        <f>VLOOKUP(M121,Pets!A:B,2,FALSE)</f>
        <v>Pasztecik</v>
      </c>
      <c r="O121">
        <f>IFERROR(VLOOKUP(L121,Treatments!B:G,6,FALSE),0)</f>
        <v>160</v>
      </c>
      <c r="P121" t="str">
        <f>VLOOKUP(M121,Pets!A:C,3,FALSE)</f>
        <v>chomik</v>
      </c>
    </row>
    <row r="122" spans="1:16" x14ac:dyDescent="0.3">
      <c r="A122">
        <v>128</v>
      </c>
      <c r="B122">
        <v>1</v>
      </c>
      <c r="C122" t="str">
        <f>VLOOKUP(B122,Vets!A:G,7,FALSE)</f>
        <v>Marek Nowak</v>
      </c>
      <c r="D122">
        <f>VLOOKUP(E122,Treatments!A:G,7,FALSE)</f>
        <v>65</v>
      </c>
      <c r="E122">
        <v>121</v>
      </c>
      <c r="H122" s="12">
        <v>128</v>
      </c>
      <c r="I122" t="str">
        <f>VLOOKUP(VLOOKUP(H122,Visits!A:B,2,FALSE),Pets!A:C,3,FALSE)</f>
        <v>kot</v>
      </c>
      <c r="J122">
        <f>VLOOKUP(H122,Treatments!B:G,6,FALSE)</f>
        <v>65</v>
      </c>
      <c r="L122">
        <v>127</v>
      </c>
      <c r="M122">
        <v>12</v>
      </c>
      <c r="N122" t="str">
        <f>VLOOKUP(M122,Pets!A:B,2,FALSE)</f>
        <v>Azor</v>
      </c>
      <c r="O122">
        <f>IFERROR(VLOOKUP(L122,Treatments!B:G,6,FALSE),0)</f>
        <v>35</v>
      </c>
      <c r="P122" t="str">
        <f>VLOOKUP(M122,Pets!A:C,3,FALSE)</f>
        <v>pies</v>
      </c>
    </row>
    <row r="123" spans="1:16" x14ac:dyDescent="0.3">
      <c r="A123">
        <v>129</v>
      </c>
      <c r="B123">
        <v>4</v>
      </c>
      <c r="C123" t="str">
        <f>VLOOKUP(B123,Vets!A:G,7,FALSE)</f>
        <v>Anna Wójcik</v>
      </c>
      <c r="D123">
        <f>VLOOKUP(E123,Treatments!A:G,7,FALSE)</f>
        <v>40</v>
      </c>
      <c r="E123">
        <v>122</v>
      </c>
      <c r="H123" s="13">
        <v>129</v>
      </c>
      <c r="I123" t="str">
        <f>VLOOKUP(VLOOKUP(H123,Visits!A:B,2,FALSE),Pets!A:C,3,FALSE)</f>
        <v>królik</v>
      </c>
      <c r="J123">
        <f>VLOOKUP(H123,Treatments!B:G,6,FALSE)</f>
        <v>40</v>
      </c>
      <c r="L123">
        <v>128</v>
      </c>
      <c r="M123">
        <v>17</v>
      </c>
      <c r="N123" t="str">
        <f>VLOOKUP(M123,Pets!A:B,2,FALSE)</f>
        <v>Loki</v>
      </c>
      <c r="O123">
        <f>IFERROR(VLOOKUP(L123,Treatments!B:G,6,FALSE),0)</f>
        <v>65</v>
      </c>
      <c r="P123" t="str">
        <f>VLOOKUP(M123,Pets!A:C,3,FALSE)</f>
        <v>kot</v>
      </c>
    </row>
    <row r="124" spans="1:16" x14ac:dyDescent="0.3">
      <c r="A124">
        <v>130</v>
      </c>
      <c r="B124">
        <v>5</v>
      </c>
      <c r="C124" t="str">
        <f>VLOOKUP(B124,Vets!A:G,7,FALSE)</f>
        <v>Paweł Mazur</v>
      </c>
      <c r="D124">
        <f>VLOOKUP(E124,Treatments!A:G,7,FALSE)</f>
        <v>55</v>
      </c>
      <c r="E124">
        <v>123</v>
      </c>
      <c r="H124" s="12">
        <v>130</v>
      </c>
      <c r="I124" t="str">
        <f>VLOOKUP(VLOOKUP(H124,Visits!A:B,2,FALSE),Pets!A:C,3,FALSE)</f>
        <v>pies</v>
      </c>
      <c r="J124">
        <f>VLOOKUP(H124,Treatments!B:G,6,FALSE)</f>
        <v>55</v>
      </c>
      <c r="L124">
        <v>129</v>
      </c>
      <c r="M124">
        <v>18</v>
      </c>
      <c r="N124" t="str">
        <f>VLOOKUP(M124,Pets!A:B,2,FALSE)</f>
        <v>Śnieżka</v>
      </c>
      <c r="O124">
        <f>IFERROR(VLOOKUP(L124,Treatments!B:G,6,FALSE),0)</f>
        <v>40</v>
      </c>
      <c r="P124" t="str">
        <f>VLOOKUP(M124,Pets!A:C,3,FALSE)</f>
        <v>królik</v>
      </c>
    </row>
    <row r="125" spans="1:16" x14ac:dyDescent="0.3">
      <c r="A125">
        <v>131</v>
      </c>
      <c r="B125">
        <v>1</v>
      </c>
      <c r="C125" t="str">
        <f>VLOOKUP(B125,Vets!A:G,7,FALSE)</f>
        <v>Marek Nowak</v>
      </c>
      <c r="D125">
        <f>VLOOKUP(E125,Treatments!A:G,7,FALSE)</f>
        <v>85</v>
      </c>
      <c r="E125">
        <v>124</v>
      </c>
      <c r="H125" s="13">
        <v>131</v>
      </c>
      <c r="I125" t="str">
        <f>VLOOKUP(VLOOKUP(H125,Visits!A:B,2,FALSE),Pets!A:C,3,FALSE)</f>
        <v>kot</v>
      </c>
      <c r="J125">
        <f>VLOOKUP(H125,Treatments!B:G,6,FALSE)</f>
        <v>85</v>
      </c>
      <c r="L125">
        <v>130</v>
      </c>
      <c r="M125">
        <v>19</v>
      </c>
      <c r="N125" t="str">
        <f>VLOOKUP(M125,Pets!A:B,2,FALSE)</f>
        <v>Hania</v>
      </c>
      <c r="O125">
        <f>IFERROR(VLOOKUP(L125,Treatments!B:G,6,FALSE),0)</f>
        <v>55</v>
      </c>
      <c r="P125" t="str">
        <f>VLOOKUP(M125,Pets!A:C,3,FALSE)</f>
        <v>pies</v>
      </c>
    </row>
    <row r="126" spans="1:16" x14ac:dyDescent="0.3">
      <c r="A126">
        <v>132</v>
      </c>
      <c r="B126">
        <v>4</v>
      </c>
      <c r="C126" t="str">
        <f>VLOOKUP(B126,Vets!A:G,7,FALSE)</f>
        <v>Anna Wójcik</v>
      </c>
      <c r="D126">
        <f>VLOOKUP(E126,Treatments!A:G,7,FALSE)</f>
        <v>35</v>
      </c>
      <c r="E126">
        <v>125</v>
      </c>
      <c r="H126" s="12">
        <v>132</v>
      </c>
      <c r="I126" t="str">
        <f>VLOOKUP(VLOOKUP(H126,Visits!A:B,2,FALSE),Pets!A:C,3,FALSE)</f>
        <v>pies</v>
      </c>
      <c r="J126">
        <f>VLOOKUP(H126,Treatments!B:G,6,FALSE)</f>
        <v>35</v>
      </c>
      <c r="L126">
        <v>131</v>
      </c>
      <c r="M126">
        <v>23</v>
      </c>
      <c r="N126" t="str">
        <f>VLOOKUP(M126,Pets!A:B,2,FALSE)</f>
        <v>Czesia</v>
      </c>
      <c r="O126">
        <f>IFERROR(VLOOKUP(L126,Treatments!B:G,6,FALSE),0)</f>
        <v>85</v>
      </c>
      <c r="P126" t="str">
        <f>VLOOKUP(M126,Pets!A:C,3,FALSE)</f>
        <v>kot</v>
      </c>
    </row>
    <row r="127" spans="1:16" x14ac:dyDescent="0.3">
      <c r="A127">
        <v>133</v>
      </c>
      <c r="B127">
        <v>5</v>
      </c>
      <c r="C127" t="str">
        <f>VLOOKUP(B127,Vets!A:G,7,FALSE)</f>
        <v>Paweł Mazur</v>
      </c>
      <c r="D127">
        <f>VLOOKUP(E127,Treatments!A:G,7,FALSE)</f>
        <v>230</v>
      </c>
      <c r="E127">
        <v>126</v>
      </c>
      <c r="H127" s="13">
        <v>133</v>
      </c>
      <c r="I127" t="str">
        <f>VLOOKUP(VLOOKUP(H127,Visits!A:B,2,FALSE),Pets!A:C,3,FALSE)</f>
        <v>pies</v>
      </c>
      <c r="J127">
        <f>VLOOKUP(H127,Treatments!B:G,6,FALSE)</f>
        <v>230</v>
      </c>
      <c r="L127">
        <v>132</v>
      </c>
      <c r="M127">
        <v>24</v>
      </c>
      <c r="N127" t="str">
        <f>VLOOKUP(M127,Pets!A:B,2,FALSE)</f>
        <v>Gucio</v>
      </c>
      <c r="O127">
        <f>IFERROR(VLOOKUP(L127,Treatments!B:G,6,FALSE),0)</f>
        <v>35</v>
      </c>
      <c r="P127" t="str">
        <f>VLOOKUP(M127,Pets!A:C,3,FALSE)</f>
        <v>pies</v>
      </c>
    </row>
    <row r="128" spans="1:16" x14ac:dyDescent="0.3">
      <c r="A128">
        <v>134</v>
      </c>
      <c r="B128">
        <v>5</v>
      </c>
      <c r="C128" t="str">
        <f>VLOOKUP(B128,Vets!A:G,7,FALSE)</f>
        <v>Paweł Mazur</v>
      </c>
      <c r="D128">
        <f>VLOOKUP(E128,Treatments!A:G,7,FALSE)</f>
        <v>100</v>
      </c>
      <c r="E128">
        <v>127</v>
      </c>
      <c r="H128" s="12">
        <v>134</v>
      </c>
      <c r="I128" t="str">
        <f>VLOOKUP(VLOOKUP(H128,Visits!A:B,2,FALSE),Pets!A:C,3,FALSE)</f>
        <v>kot</v>
      </c>
      <c r="J128">
        <f>VLOOKUP(H128,Treatments!B:G,6,FALSE)</f>
        <v>100</v>
      </c>
      <c r="L128">
        <v>133</v>
      </c>
      <c r="M128">
        <v>26</v>
      </c>
      <c r="N128" t="str">
        <f>VLOOKUP(M128,Pets!A:B,2,FALSE)</f>
        <v>Tofik</v>
      </c>
      <c r="O128">
        <f>IFERROR(VLOOKUP(L128,Treatments!B:G,6,FALSE),0)</f>
        <v>230</v>
      </c>
      <c r="P128" t="str">
        <f>VLOOKUP(M128,Pets!A:C,3,FALSE)</f>
        <v>pies</v>
      </c>
    </row>
    <row r="129" spans="1:16" x14ac:dyDescent="0.3">
      <c r="A129">
        <v>135</v>
      </c>
      <c r="B129">
        <v>1</v>
      </c>
      <c r="C129" t="str">
        <f>VLOOKUP(B129,Vets!A:G,7,FALSE)</f>
        <v>Marek Nowak</v>
      </c>
      <c r="D129">
        <f>VLOOKUP(E129,Treatments!A:G,7,FALSE)</f>
        <v>90</v>
      </c>
      <c r="E129">
        <v>128</v>
      </c>
      <c r="H129" s="13">
        <v>135</v>
      </c>
      <c r="I129" t="str">
        <f>VLOOKUP(VLOOKUP(H129,Visits!A:B,2,FALSE),Pets!A:C,3,FALSE)</f>
        <v>papuga</v>
      </c>
      <c r="J129">
        <f>VLOOKUP(H129,Treatments!B:G,6,FALSE)</f>
        <v>90</v>
      </c>
      <c r="L129">
        <v>134</v>
      </c>
      <c r="M129">
        <v>31</v>
      </c>
      <c r="N129" t="str">
        <f>VLOOKUP(M129,Pets!A:B,2,FALSE)</f>
        <v>Ruda</v>
      </c>
      <c r="O129">
        <f>IFERROR(VLOOKUP(L129,Treatments!B:G,6,FALSE),0)</f>
        <v>100</v>
      </c>
      <c r="P129" t="str">
        <f>VLOOKUP(M129,Pets!A:C,3,FALSE)</f>
        <v>kot</v>
      </c>
    </row>
    <row r="130" spans="1:16" x14ac:dyDescent="0.3">
      <c r="A130">
        <v>136</v>
      </c>
      <c r="B130">
        <v>5</v>
      </c>
      <c r="C130" t="str">
        <f>VLOOKUP(B130,Vets!A:G,7,FALSE)</f>
        <v>Paweł Mazur</v>
      </c>
      <c r="D130">
        <f>VLOOKUP(E130,Treatments!A:G,7,FALSE)</f>
        <v>90</v>
      </c>
      <c r="E130">
        <v>129</v>
      </c>
      <c r="H130" s="12">
        <v>136</v>
      </c>
      <c r="I130" t="str">
        <f>VLOOKUP(VLOOKUP(H130,Visits!A:B,2,FALSE),Pets!A:C,3,FALSE)</f>
        <v>kot</v>
      </c>
      <c r="J130">
        <f>VLOOKUP(H130,Treatments!B:G,6,FALSE)</f>
        <v>90</v>
      </c>
      <c r="L130">
        <v>135</v>
      </c>
      <c r="M130">
        <v>32</v>
      </c>
      <c r="N130" t="str">
        <f>VLOOKUP(M130,Pets!A:B,2,FALSE)</f>
        <v>Zizi</v>
      </c>
      <c r="O130">
        <f>IFERROR(VLOOKUP(L130,Treatments!B:G,6,FALSE),0)</f>
        <v>90</v>
      </c>
      <c r="P130" t="str">
        <f>VLOOKUP(M130,Pets!A:C,3,FALSE)</f>
        <v>papuga</v>
      </c>
    </row>
    <row r="131" spans="1:16" x14ac:dyDescent="0.3">
      <c r="A131">
        <v>137</v>
      </c>
      <c r="B131">
        <v>4</v>
      </c>
      <c r="C131" t="str">
        <f>VLOOKUP(B131,Vets!A:G,7,FALSE)</f>
        <v>Anna Wójcik</v>
      </c>
      <c r="D131">
        <f>VLOOKUP(E131,Treatments!A:G,7,FALSE)</f>
        <v>120</v>
      </c>
      <c r="E131">
        <v>130</v>
      </c>
      <c r="H131" s="13">
        <v>137</v>
      </c>
      <c r="I131" t="str">
        <f>VLOOKUP(VLOOKUP(H131,Visits!A:B,2,FALSE),Pets!A:C,3,FALSE)</f>
        <v>chomik</v>
      </c>
      <c r="J131">
        <f>VLOOKUP(H131,Treatments!B:G,6,FALSE)</f>
        <v>120</v>
      </c>
      <c r="L131">
        <v>136</v>
      </c>
      <c r="M131">
        <v>33</v>
      </c>
      <c r="N131" t="str">
        <f>VLOOKUP(M131,Pets!A:B,2,FALSE)</f>
        <v>Balbinka</v>
      </c>
      <c r="O131">
        <f>IFERROR(VLOOKUP(L131,Treatments!B:G,6,FALSE),0)</f>
        <v>90</v>
      </c>
      <c r="P131" t="str">
        <f>VLOOKUP(M131,Pets!A:C,3,FALSE)</f>
        <v>kot</v>
      </c>
    </row>
    <row r="132" spans="1:16" x14ac:dyDescent="0.3">
      <c r="A132">
        <v>138</v>
      </c>
      <c r="B132">
        <v>5</v>
      </c>
      <c r="C132" t="str">
        <f>VLOOKUP(B132,Vets!A:G,7,FALSE)</f>
        <v>Paweł Mazur</v>
      </c>
      <c r="D132">
        <f>VLOOKUP(E132,Treatments!A:G,7,FALSE)</f>
        <v>85</v>
      </c>
      <c r="E132">
        <v>131</v>
      </c>
      <c r="H132" s="12">
        <v>138</v>
      </c>
      <c r="I132" t="str">
        <f>VLOOKUP(VLOOKUP(H132,Visits!A:B,2,FALSE),Pets!A:C,3,FALSE)</f>
        <v>pies</v>
      </c>
      <c r="J132">
        <f>VLOOKUP(H132,Treatments!B:G,6,FALSE)</f>
        <v>85</v>
      </c>
      <c r="L132">
        <v>137</v>
      </c>
      <c r="M132">
        <v>38</v>
      </c>
      <c r="N132" t="str">
        <f>VLOOKUP(M132,Pets!A:B,2,FALSE)</f>
        <v>Miszka</v>
      </c>
      <c r="O132">
        <f>IFERROR(VLOOKUP(L132,Treatments!B:G,6,FALSE),0)</f>
        <v>120</v>
      </c>
      <c r="P132" t="str">
        <f>VLOOKUP(M132,Pets!A:C,3,FALSE)</f>
        <v>chomik</v>
      </c>
    </row>
    <row r="133" spans="1:16" x14ac:dyDescent="0.3">
      <c r="A133">
        <v>139</v>
      </c>
      <c r="B133">
        <v>6</v>
      </c>
      <c r="C133" t="str">
        <f>VLOOKUP(B133,Vets!A:G,7,FALSE)</f>
        <v>Janusz Szymański</v>
      </c>
      <c r="D133">
        <f>VLOOKUP(E133,Treatments!A:G,7,FALSE)</f>
        <v>75</v>
      </c>
      <c r="E133">
        <v>132</v>
      </c>
      <c r="H133" s="13">
        <v>139</v>
      </c>
      <c r="I133" t="str">
        <f>VLOOKUP(VLOOKUP(H133,Visits!A:B,2,FALSE),Pets!A:C,3,FALSE)</f>
        <v>kot</v>
      </c>
      <c r="J133">
        <f>VLOOKUP(H133,Treatments!B:G,6,FALSE)</f>
        <v>75</v>
      </c>
      <c r="L133">
        <v>138</v>
      </c>
      <c r="M133">
        <v>39</v>
      </c>
      <c r="N133" t="str">
        <f>VLOOKUP(M133,Pets!A:B,2,FALSE)</f>
        <v>Max</v>
      </c>
      <c r="O133">
        <f>IFERROR(VLOOKUP(L133,Treatments!B:G,6,FALSE),0)</f>
        <v>85</v>
      </c>
      <c r="P133" t="str">
        <f>VLOOKUP(M133,Pets!A:C,3,FALSE)</f>
        <v>pies</v>
      </c>
    </row>
    <row r="134" spans="1:16" x14ac:dyDescent="0.3">
      <c r="A134">
        <v>140</v>
      </c>
      <c r="B134">
        <v>6</v>
      </c>
      <c r="C134" t="str">
        <f>VLOOKUP(B134,Vets!A:G,7,FALSE)</f>
        <v>Janusz Szymański</v>
      </c>
      <c r="D134">
        <f>VLOOKUP(E134,Treatments!A:G,7,FALSE)</f>
        <v>55</v>
      </c>
      <c r="E134">
        <v>133</v>
      </c>
      <c r="H134" s="12">
        <v>140</v>
      </c>
      <c r="I134" t="str">
        <f>VLOOKUP(VLOOKUP(H134,Visits!A:B,2,FALSE),Pets!A:C,3,FALSE)</f>
        <v>pies</v>
      </c>
      <c r="J134">
        <f>VLOOKUP(H134,Treatments!B:G,6,FALSE)</f>
        <v>55</v>
      </c>
      <c r="L134">
        <v>139</v>
      </c>
      <c r="M134">
        <v>40</v>
      </c>
      <c r="N134" t="str">
        <f>VLOOKUP(M134,Pets!A:B,2,FALSE)</f>
        <v>Śmiga</v>
      </c>
      <c r="O134">
        <f>IFERROR(VLOOKUP(L134,Treatments!B:G,6,FALSE),0)</f>
        <v>75</v>
      </c>
      <c r="P134" t="str">
        <f>VLOOKUP(M134,Pets!A:C,3,FALSE)</f>
        <v>kot</v>
      </c>
    </row>
    <row r="135" spans="1:16" x14ac:dyDescent="0.3">
      <c r="A135">
        <v>141</v>
      </c>
      <c r="B135">
        <v>3</v>
      </c>
      <c r="C135" t="str">
        <f>VLOOKUP(B135,Vets!A:G,7,FALSE)</f>
        <v>Tomasz Kaczmarek</v>
      </c>
      <c r="D135">
        <f>VLOOKUP(E135,Treatments!A:G,7,FALSE)</f>
        <v>60</v>
      </c>
      <c r="E135">
        <v>134</v>
      </c>
      <c r="H135" s="13">
        <v>141</v>
      </c>
      <c r="I135" t="str">
        <f>VLOOKUP(VLOOKUP(H135,Visits!A:B,2,FALSE),Pets!A:C,3,FALSE)</f>
        <v>pies</v>
      </c>
      <c r="J135">
        <f>VLOOKUP(H135,Treatments!B:G,6,FALSE)</f>
        <v>60</v>
      </c>
      <c r="L135">
        <v>140</v>
      </c>
      <c r="M135">
        <v>46</v>
      </c>
      <c r="N135" t="str">
        <f>VLOOKUP(M135,Pets!A:B,2,FALSE)</f>
        <v>Zuzia</v>
      </c>
      <c r="O135">
        <f>IFERROR(VLOOKUP(L135,Treatments!B:G,6,FALSE),0)</f>
        <v>55</v>
      </c>
      <c r="P135" t="str">
        <f>VLOOKUP(M135,Pets!A:C,3,FALSE)</f>
        <v>pies</v>
      </c>
    </row>
    <row r="136" spans="1:16" x14ac:dyDescent="0.3">
      <c r="A136">
        <v>142</v>
      </c>
      <c r="B136">
        <v>1</v>
      </c>
      <c r="C136" t="str">
        <f>VLOOKUP(B136,Vets!A:G,7,FALSE)</f>
        <v>Marek Nowak</v>
      </c>
      <c r="D136">
        <f>VLOOKUP(E136,Treatments!A:G,7,FALSE)</f>
        <v>50</v>
      </c>
      <c r="E136">
        <v>135</v>
      </c>
      <c r="H136" s="12">
        <v>142</v>
      </c>
      <c r="I136" t="str">
        <f>VLOOKUP(VLOOKUP(H136,Visits!A:B,2,FALSE),Pets!A:C,3,FALSE)</f>
        <v>kot</v>
      </c>
      <c r="J136">
        <f>VLOOKUP(H136,Treatments!B:G,6,FALSE)</f>
        <v>50</v>
      </c>
      <c r="L136">
        <v>141</v>
      </c>
      <c r="M136">
        <v>49</v>
      </c>
      <c r="N136" t="str">
        <f>VLOOKUP(M136,Pets!A:B,2,FALSE)</f>
        <v>Baśka</v>
      </c>
      <c r="O136">
        <f>IFERROR(VLOOKUP(L136,Treatments!B:G,6,FALSE),0)</f>
        <v>60</v>
      </c>
      <c r="P136" t="str">
        <f>VLOOKUP(M136,Pets!A:C,3,FALSE)</f>
        <v>pies</v>
      </c>
    </row>
    <row r="137" spans="1:16" x14ac:dyDescent="0.3">
      <c r="A137">
        <v>143</v>
      </c>
      <c r="B137">
        <v>4</v>
      </c>
      <c r="C137" t="str">
        <f>VLOOKUP(B137,Vets!A:G,7,FALSE)</f>
        <v>Anna Wójcik</v>
      </c>
      <c r="D137">
        <f>VLOOKUP(E137,Treatments!A:G,7,FALSE)</f>
        <v>55</v>
      </c>
      <c r="E137">
        <v>136</v>
      </c>
      <c r="H137" s="13">
        <v>143</v>
      </c>
      <c r="I137" t="str">
        <f>VLOOKUP(VLOOKUP(H137,Visits!A:B,2,FALSE),Pets!A:C,3,FALSE)</f>
        <v>kot</v>
      </c>
      <c r="J137">
        <f>VLOOKUP(H137,Treatments!B:G,6,FALSE)</f>
        <v>55</v>
      </c>
      <c r="L137">
        <v>142</v>
      </c>
      <c r="M137">
        <v>52</v>
      </c>
      <c r="N137" t="str">
        <f>VLOOKUP(M137,Pets!A:B,2,FALSE)</f>
        <v>Bianka</v>
      </c>
      <c r="O137">
        <f>IFERROR(VLOOKUP(L137,Treatments!B:G,6,FALSE),0)</f>
        <v>50</v>
      </c>
      <c r="P137" t="str">
        <f>VLOOKUP(M137,Pets!A:C,3,FALSE)</f>
        <v>kot</v>
      </c>
    </row>
    <row r="138" spans="1:16" x14ac:dyDescent="0.3">
      <c r="A138">
        <v>144</v>
      </c>
      <c r="B138">
        <v>4</v>
      </c>
      <c r="C138" t="str">
        <f>VLOOKUP(B138,Vets!A:G,7,FALSE)</f>
        <v>Anna Wójcik</v>
      </c>
      <c r="D138">
        <f>VLOOKUP(E138,Treatments!A:G,7,FALSE)</f>
        <v>160</v>
      </c>
      <c r="E138">
        <v>137</v>
      </c>
      <c r="H138" s="12">
        <v>144</v>
      </c>
      <c r="I138" t="str">
        <f>VLOOKUP(VLOOKUP(H138,Visits!A:B,2,FALSE),Pets!A:C,3,FALSE)</f>
        <v>pies</v>
      </c>
      <c r="J138">
        <f>VLOOKUP(H138,Treatments!B:G,6,FALSE)</f>
        <v>160</v>
      </c>
      <c r="L138">
        <v>143</v>
      </c>
      <c r="M138">
        <v>56</v>
      </c>
      <c r="N138" t="str">
        <f>VLOOKUP(M138,Pets!A:B,2,FALSE)</f>
        <v>Fizia</v>
      </c>
      <c r="O138">
        <f>IFERROR(VLOOKUP(L138,Treatments!B:G,6,FALSE),0)</f>
        <v>55</v>
      </c>
      <c r="P138" t="str">
        <f>VLOOKUP(M138,Pets!A:C,3,FALSE)</f>
        <v>kot</v>
      </c>
    </row>
    <row r="139" spans="1:16" x14ac:dyDescent="0.3">
      <c r="A139">
        <v>145</v>
      </c>
      <c r="B139">
        <v>2</v>
      </c>
      <c r="C139" t="str">
        <f>VLOOKUP(B139,Vets!A:G,7,FALSE)</f>
        <v>Ewa Lis</v>
      </c>
      <c r="D139">
        <f>VLOOKUP(E139,Treatments!A:G,7,FALSE)</f>
        <v>70</v>
      </c>
      <c r="E139">
        <v>138</v>
      </c>
      <c r="H139" s="13">
        <v>145</v>
      </c>
      <c r="I139" t="str">
        <f>VLOOKUP(VLOOKUP(H139,Visits!A:B,2,FALSE),Pets!A:C,3,FALSE)</f>
        <v>kot</v>
      </c>
      <c r="J139">
        <f>VLOOKUP(H139,Treatments!B:G,6,FALSE)</f>
        <v>70</v>
      </c>
      <c r="L139">
        <v>144</v>
      </c>
      <c r="M139">
        <v>62</v>
      </c>
      <c r="N139" t="str">
        <f>VLOOKUP(M139,Pets!A:B,2,FALSE)</f>
        <v>Wróbel</v>
      </c>
      <c r="O139">
        <f>IFERROR(VLOOKUP(L139,Treatments!B:G,6,FALSE),0)</f>
        <v>160</v>
      </c>
      <c r="P139" t="str">
        <f>VLOOKUP(M139,Pets!A:C,3,FALSE)</f>
        <v>pies</v>
      </c>
    </row>
    <row r="140" spans="1:16" x14ac:dyDescent="0.3">
      <c r="A140">
        <v>146</v>
      </c>
      <c r="B140">
        <v>5</v>
      </c>
      <c r="C140" t="str">
        <f>VLOOKUP(B140,Vets!A:G,7,FALSE)</f>
        <v>Paweł Mazur</v>
      </c>
      <c r="D140">
        <f>VLOOKUP(E140,Treatments!A:G,7,FALSE)</f>
        <v>50</v>
      </c>
      <c r="E140">
        <v>139</v>
      </c>
      <c r="H140" s="12">
        <v>146</v>
      </c>
      <c r="I140" t="str">
        <f>VLOOKUP(VLOOKUP(H140,Visits!A:B,2,FALSE),Pets!A:C,3,FALSE)</f>
        <v>pies</v>
      </c>
      <c r="J140">
        <f>VLOOKUP(H140,Treatments!B:G,6,FALSE)</f>
        <v>50</v>
      </c>
      <c r="L140">
        <v>145</v>
      </c>
      <c r="M140">
        <v>63</v>
      </c>
      <c r="N140" t="str">
        <f>VLOOKUP(M140,Pets!A:B,2,FALSE)</f>
        <v>Ninka</v>
      </c>
      <c r="O140">
        <f>IFERROR(VLOOKUP(L140,Treatments!B:G,6,FALSE),0)</f>
        <v>70</v>
      </c>
      <c r="P140" t="str">
        <f>VLOOKUP(M140,Pets!A:C,3,FALSE)</f>
        <v>kot</v>
      </c>
    </row>
    <row r="141" spans="1:16" x14ac:dyDescent="0.3">
      <c r="A141">
        <v>147</v>
      </c>
      <c r="B141">
        <v>5</v>
      </c>
      <c r="C141" t="str">
        <f>VLOOKUP(B141,Vets!A:G,7,FALSE)</f>
        <v>Paweł Mazur</v>
      </c>
      <c r="D141">
        <f>VLOOKUP(E141,Treatments!A:G,7,FALSE)</f>
        <v>60</v>
      </c>
      <c r="E141">
        <v>140</v>
      </c>
      <c r="H141" s="13">
        <v>147</v>
      </c>
      <c r="I141" t="str">
        <f>VLOOKUP(VLOOKUP(H141,Visits!A:B,2,FALSE),Pets!A:C,3,FALSE)</f>
        <v>kot</v>
      </c>
      <c r="J141">
        <f>VLOOKUP(H141,Treatments!B:G,6,FALSE)</f>
        <v>60</v>
      </c>
      <c r="L141">
        <v>146</v>
      </c>
      <c r="M141">
        <v>64</v>
      </c>
      <c r="N141" t="str">
        <f>VLOOKUP(M141,Pets!A:B,2,FALSE)</f>
        <v>Bajka</v>
      </c>
      <c r="O141">
        <f>IFERROR(VLOOKUP(L141,Treatments!B:G,6,FALSE),0)</f>
        <v>50</v>
      </c>
      <c r="P141" t="str">
        <f>VLOOKUP(M141,Pets!A:C,3,FALSE)</f>
        <v>pies</v>
      </c>
    </row>
    <row r="142" spans="1:16" x14ac:dyDescent="0.3">
      <c r="A142">
        <v>148</v>
      </c>
      <c r="B142">
        <v>2</v>
      </c>
      <c r="C142" t="str">
        <f>VLOOKUP(B142,Vets!A:G,7,FALSE)</f>
        <v>Ewa Lis</v>
      </c>
      <c r="D142">
        <f>VLOOKUP(E142,Treatments!A:G,7,FALSE)</f>
        <v>100</v>
      </c>
      <c r="E142">
        <v>141</v>
      </c>
      <c r="H142" s="12">
        <v>148</v>
      </c>
      <c r="I142" t="str">
        <f>VLOOKUP(VLOOKUP(H142,Visits!A:B,2,FALSE),Pets!A:C,3,FALSE)</f>
        <v>kot</v>
      </c>
      <c r="J142">
        <f>VLOOKUP(H142,Treatments!B:G,6,FALSE)</f>
        <v>100</v>
      </c>
      <c r="L142">
        <v>147</v>
      </c>
      <c r="M142">
        <v>65</v>
      </c>
      <c r="N142" t="str">
        <f>VLOOKUP(M142,Pets!A:B,2,FALSE)</f>
        <v>Karmel</v>
      </c>
      <c r="O142">
        <f>IFERROR(VLOOKUP(L142,Treatments!B:G,6,FALSE),0)</f>
        <v>60</v>
      </c>
      <c r="P142" t="str">
        <f>VLOOKUP(M142,Pets!A:C,3,FALSE)</f>
        <v>kot</v>
      </c>
    </row>
    <row r="143" spans="1:16" x14ac:dyDescent="0.3">
      <c r="A143">
        <v>149</v>
      </c>
      <c r="B143">
        <v>5</v>
      </c>
      <c r="C143" t="str">
        <f>VLOOKUP(B143,Vets!A:G,7,FALSE)</f>
        <v>Paweł Mazur</v>
      </c>
      <c r="D143">
        <f>VLOOKUP(E143,Treatments!A:G,7,FALSE)</f>
        <v>55</v>
      </c>
      <c r="E143">
        <v>142</v>
      </c>
      <c r="H143" s="13">
        <v>149</v>
      </c>
      <c r="I143" t="str">
        <f>VLOOKUP(VLOOKUP(H143,Visits!A:B,2,FALSE),Pets!A:C,3,FALSE)</f>
        <v>kot</v>
      </c>
      <c r="J143">
        <f>VLOOKUP(H143,Treatments!B:G,6,FALSE)</f>
        <v>55</v>
      </c>
      <c r="L143">
        <v>148</v>
      </c>
      <c r="M143">
        <v>67</v>
      </c>
      <c r="N143" t="str">
        <f>VLOOKUP(M143,Pets!A:B,2,FALSE)</f>
        <v>Iskra</v>
      </c>
      <c r="O143">
        <f>IFERROR(VLOOKUP(L143,Treatments!B:G,6,FALSE),0)</f>
        <v>100</v>
      </c>
      <c r="P143" t="str">
        <f>VLOOKUP(M143,Pets!A:C,3,FALSE)</f>
        <v>kot</v>
      </c>
    </row>
    <row r="144" spans="1:16" x14ac:dyDescent="0.3">
      <c r="A144">
        <v>150</v>
      </c>
      <c r="B144">
        <v>4</v>
      </c>
      <c r="C144" t="str">
        <f>VLOOKUP(B144,Vets!A:G,7,FALSE)</f>
        <v>Anna Wójcik</v>
      </c>
      <c r="D144">
        <f>VLOOKUP(E144,Treatments!A:G,7,FALSE)</f>
        <v>90</v>
      </c>
      <c r="E144">
        <v>143</v>
      </c>
      <c r="H144" s="12">
        <v>150</v>
      </c>
      <c r="I144" t="str">
        <f>VLOOKUP(VLOOKUP(H144,Visits!A:B,2,FALSE),Pets!A:C,3,FALSE)</f>
        <v>pies</v>
      </c>
      <c r="J144">
        <f>VLOOKUP(H144,Treatments!B:G,6,FALSE)</f>
        <v>90</v>
      </c>
      <c r="L144">
        <v>149</v>
      </c>
      <c r="M144">
        <v>69</v>
      </c>
      <c r="N144" t="str">
        <f>VLOOKUP(M144,Pets!A:B,2,FALSE)</f>
        <v>Mariolka</v>
      </c>
      <c r="O144">
        <f>IFERROR(VLOOKUP(L144,Treatments!B:G,6,FALSE),0)</f>
        <v>55</v>
      </c>
      <c r="P144" t="str">
        <f>VLOOKUP(M144,Pets!A:C,3,FALSE)</f>
        <v>kot</v>
      </c>
    </row>
    <row r="145" spans="1:16" x14ac:dyDescent="0.3">
      <c r="A145">
        <v>151</v>
      </c>
      <c r="B145">
        <v>1</v>
      </c>
      <c r="C145" t="str">
        <f>VLOOKUP(B145,Vets!A:G,7,FALSE)</f>
        <v>Marek Nowak</v>
      </c>
      <c r="D145">
        <f>VLOOKUP(E145,Treatments!A:G,7,FALSE)</f>
        <v>80</v>
      </c>
      <c r="E145">
        <v>144</v>
      </c>
      <c r="H145" s="13">
        <v>151</v>
      </c>
      <c r="I145" t="str">
        <f>VLOOKUP(VLOOKUP(H145,Visits!A:B,2,FALSE),Pets!A:C,3,FALSE)</f>
        <v>papuga</v>
      </c>
      <c r="J145">
        <f>VLOOKUP(H145,Treatments!B:G,6,FALSE)</f>
        <v>80</v>
      </c>
      <c r="L145">
        <v>150</v>
      </c>
      <c r="M145">
        <v>73</v>
      </c>
      <c r="N145" t="str">
        <f>VLOOKUP(M145,Pets!A:B,2,FALSE)</f>
        <v>Leon</v>
      </c>
      <c r="O145">
        <f>IFERROR(VLOOKUP(L145,Treatments!B:G,6,FALSE),0)</f>
        <v>90</v>
      </c>
      <c r="P145" t="str">
        <f>VLOOKUP(M145,Pets!A:C,3,FALSE)</f>
        <v>pies</v>
      </c>
    </row>
    <row r="146" spans="1:16" x14ac:dyDescent="0.3">
      <c r="A146">
        <v>152</v>
      </c>
      <c r="B146">
        <v>2</v>
      </c>
      <c r="C146" t="str">
        <f>VLOOKUP(B146,Vets!A:G,7,FALSE)</f>
        <v>Ewa Lis</v>
      </c>
      <c r="D146">
        <f>VLOOKUP(E146,Treatments!A:G,7,FALSE)</f>
        <v>65</v>
      </c>
      <c r="E146">
        <v>145</v>
      </c>
      <c r="H146" s="12">
        <v>152</v>
      </c>
      <c r="I146" t="str">
        <f>VLOOKUP(VLOOKUP(H146,Visits!A:B,2,FALSE),Pets!A:C,3,FALSE)</f>
        <v>kot</v>
      </c>
      <c r="J146">
        <f>VLOOKUP(H146,Treatments!B:G,6,FALSE)</f>
        <v>65</v>
      </c>
      <c r="L146">
        <v>151</v>
      </c>
      <c r="M146">
        <v>74</v>
      </c>
      <c r="N146" t="str">
        <f>VLOOKUP(M146,Pets!A:B,2,FALSE)</f>
        <v>Koko</v>
      </c>
      <c r="O146">
        <f>IFERROR(VLOOKUP(L146,Treatments!B:G,6,FALSE),0)</f>
        <v>80</v>
      </c>
      <c r="P146" t="str">
        <f>VLOOKUP(M146,Pets!A:C,3,FALSE)</f>
        <v>papuga</v>
      </c>
    </row>
    <row r="147" spans="1:16" x14ac:dyDescent="0.3">
      <c r="A147">
        <v>153</v>
      </c>
      <c r="B147">
        <v>5</v>
      </c>
      <c r="C147" t="str">
        <f>VLOOKUP(B147,Vets!A:G,7,FALSE)</f>
        <v>Paweł Mazur</v>
      </c>
      <c r="D147">
        <f>VLOOKUP(E147,Treatments!A:G,7,FALSE)</f>
        <v>50</v>
      </c>
      <c r="E147">
        <v>146</v>
      </c>
      <c r="H147" s="13">
        <v>153</v>
      </c>
      <c r="I147" t="str">
        <f>VLOOKUP(VLOOKUP(H147,Visits!A:B,2,FALSE),Pets!A:C,3,FALSE)</f>
        <v>pies</v>
      </c>
      <c r="J147">
        <f>VLOOKUP(H147,Treatments!B:G,6,FALSE)</f>
        <v>50</v>
      </c>
      <c r="L147">
        <v>152</v>
      </c>
      <c r="M147">
        <v>75</v>
      </c>
      <c r="N147" t="str">
        <f>VLOOKUP(M147,Pets!A:B,2,FALSE)</f>
        <v>Tosia</v>
      </c>
      <c r="O147">
        <f>IFERROR(VLOOKUP(L147,Treatments!B:G,6,FALSE),0)</f>
        <v>65</v>
      </c>
      <c r="P147" t="str">
        <f>VLOOKUP(M147,Pets!A:C,3,FALSE)</f>
        <v>kot</v>
      </c>
    </row>
    <row r="148" spans="1:16" x14ac:dyDescent="0.3">
      <c r="A148">
        <v>154</v>
      </c>
      <c r="B148">
        <v>6</v>
      </c>
      <c r="C148" t="str">
        <f>VLOOKUP(B148,Vets!A:G,7,FALSE)</f>
        <v>Janusz Szymański</v>
      </c>
      <c r="D148">
        <f>VLOOKUP(E148,Treatments!A:G,7,FALSE)</f>
        <v>120</v>
      </c>
      <c r="E148">
        <v>147</v>
      </c>
      <c r="H148" s="12">
        <v>154</v>
      </c>
      <c r="I148" t="str">
        <f>VLOOKUP(VLOOKUP(H148,Visits!A:B,2,FALSE),Pets!A:C,3,FALSE)</f>
        <v>pies</v>
      </c>
      <c r="J148">
        <f>VLOOKUP(H148,Treatments!B:G,6,FALSE)</f>
        <v>120</v>
      </c>
      <c r="L148">
        <v>153</v>
      </c>
      <c r="M148">
        <v>76</v>
      </c>
      <c r="N148" t="str">
        <f>VLOOKUP(M148,Pets!A:B,2,FALSE)</f>
        <v>Rufi</v>
      </c>
      <c r="O148">
        <f>IFERROR(VLOOKUP(L148,Treatments!B:G,6,FALSE),0)</f>
        <v>50</v>
      </c>
      <c r="P148" t="str">
        <f>VLOOKUP(M148,Pets!A:C,3,FALSE)</f>
        <v>pies</v>
      </c>
    </row>
    <row r="149" spans="1:16" x14ac:dyDescent="0.3">
      <c r="L149">
        <v>154</v>
      </c>
      <c r="M149">
        <v>78</v>
      </c>
      <c r="N149" t="str">
        <f>VLOOKUP(M149,Pets!A:B,2,FALSE)</f>
        <v>Nela</v>
      </c>
      <c r="O149">
        <f>IFERROR(VLOOKUP(L149,Treatments!B:G,6,FALSE),0)</f>
        <v>120</v>
      </c>
      <c r="P149" t="str">
        <f>VLOOKUP(M149,Pets!A:C,3,FALSE)</f>
        <v>pies</v>
      </c>
    </row>
  </sheetData>
  <mergeCells count="1">
    <mergeCell ref="L1:O1"/>
  </mergeCells>
  <pageMargins left="0.7" right="0.7" top="0.75" bottom="0.75" header="0.3" footer="0.3"/>
  <legacyDrawing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9</vt:i4>
      </vt:variant>
    </vt:vector>
  </HeadingPairs>
  <TitlesOfParts>
    <vt:vector size="9" baseType="lpstr">
      <vt:lpstr>Owners</vt:lpstr>
      <vt:lpstr>Pets</vt:lpstr>
      <vt:lpstr>Vets</vt:lpstr>
      <vt:lpstr>Visits</vt:lpstr>
      <vt:lpstr>Treatments</vt:lpstr>
      <vt:lpstr>Prescriptions</vt:lpstr>
      <vt:lpstr>Statystyki</vt:lpstr>
      <vt:lpstr>Analiza</vt:lpstr>
      <vt:lpstr>tabele pomocnicze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2026-06-11T11:07:39Z</cp:lastPrinted>
  <dcterms:created xsi:type="dcterms:W3CDTF">2026-06-10T13:07:15Z</dcterms:created>
  <dcterms:modified xsi:type="dcterms:W3CDTF">2026-06-11T11:40:11Z</dcterms:modified>
</cp:coreProperties>
</file>